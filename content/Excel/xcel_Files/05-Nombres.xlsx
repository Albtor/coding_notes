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90ED37A1-A1B6-487B-8663-8FE03D7A9847}" xr6:coauthVersionLast="47" xr6:coauthVersionMax="47" xr10:uidLastSave="{00000000-0000-0000-0000-000000000000}"/>
  <bookViews>
    <workbookView xWindow="35340" yWindow="1275" windowWidth="20625" windowHeight="10125" activeTab="1" xr2:uid="{00000000-000D-0000-FFFF-FFFF00000000}"/>
  </bookViews>
  <sheets>
    <sheet name="1-Nombres_1" sheetId="3" r:id="rId1"/>
    <sheet name="2-Nombres_2" sheetId="4" r:id="rId2"/>
    <sheet name="Criterios" sheetId="2" r:id="rId3"/>
    <sheet name="PRODUCTOS" sheetId="1" r:id="rId4"/>
  </sheets>
  <definedNames>
    <definedName name="BaseProductos">PRODUCTOS!$A$1:$G$13</definedName>
    <definedName name="tablaCursos">'2-Nombres_2'!$A$9:$B$11</definedName>
    <definedName name="ultimo_dia_mes">'2-Nombres_2'!$H$6</definedName>
    <definedName name="ZonaCriterios">Criterios!$A$1:$G$2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7" i="4"/>
  <c r="F4" i="4"/>
  <c r="H6" i="4"/>
  <c r="H10" i="4" s="1"/>
  <c r="E4" i="4"/>
  <c r="E5" i="4"/>
  <c r="E6" i="4"/>
  <c r="E7" i="4"/>
  <c r="J3" i="2"/>
</calcChain>
</file>

<file path=xl/sharedStrings.xml><?xml version="1.0" encoding="utf-8"?>
<sst xmlns="http://schemas.openxmlformats.org/spreadsheetml/2006/main" count="94" uniqueCount="63">
  <si>
    <t>CODIGO ARTICULO</t>
  </si>
  <si>
    <t>SECCION</t>
  </si>
  <si>
    <t>NOMBRE ARTICULO</t>
  </si>
  <si>
    <t>PRECIO</t>
  </si>
  <si>
    <t>FECHA</t>
  </si>
  <si>
    <t>IMPORTADO</t>
  </si>
  <si>
    <t>PAIS ORIGEN</t>
  </si>
  <si>
    <t>AR01</t>
  </si>
  <si>
    <t>FERRETERIA</t>
  </si>
  <si>
    <t>Destornillador</t>
  </si>
  <si>
    <t>ESPAÑA</t>
  </si>
  <si>
    <r>
      <t>AR0</t>
    </r>
    <r>
      <rPr>
        <b/>
        <sz val="11"/>
        <color theme="1"/>
        <rFont val="Calibri"/>
        <family val="2"/>
        <scheme val="minor"/>
      </rPr>
      <t>2</t>
    </r>
  </si>
  <si>
    <t>CONFECCION</t>
  </si>
  <si>
    <t>Traje</t>
  </si>
  <si>
    <t>ITALIA</t>
  </si>
  <si>
    <t>AR03</t>
  </si>
  <si>
    <t>JUGUETERIA</t>
  </si>
  <si>
    <t>Coche</t>
  </si>
  <si>
    <t>USA</t>
  </si>
  <si>
    <t>AR04</t>
  </si>
  <si>
    <t>DEPORTES</t>
  </si>
  <si>
    <t>Raqueta</t>
  </si>
  <si>
    <t>FRANCIA</t>
  </si>
  <si>
    <t>AR05</t>
  </si>
  <si>
    <t>Alicates</t>
  </si>
  <si>
    <t>AR06</t>
  </si>
  <si>
    <t>Falda</t>
  </si>
  <si>
    <t>AR07</t>
  </si>
  <si>
    <t>Balon</t>
  </si>
  <si>
    <t>AR08</t>
  </si>
  <si>
    <t>Mancuernas</t>
  </si>
  <si>
    <t>Pantalon Caballero</t>
  </si>
  <si>
    <t>Camisa Caballero</t>
  </si>
  <si>
    <t>Abrigo Caballero</t>
  </si>
  <si>
    <t>Total</t>
  </si>
  <si>
    <t>Promedio</t>
  </si>
  <si>
    <t>España</t>
  </si>
  <si>
    <t xml:space="preserve">Intersecciones =Maria febrero </t>
  </si>
  <si>
    <t>Dar nombre en Formulas &gt; Nombres definidos (definir nombres)</t>
  </si>
  <si>
    <t>/=BDSUMA(BaseProductos;PRODUCTOS!D1;ZonaCriterios)</t>
  </si>
  <si>
    <t>Crear desde la seleccion: al usar columnas de datos y nombres, puedan asignarse los nombres de rangos de los nombres
Si hay nombres en una fila y columna, excel lo detecta</t>
  </si>
  <si>
    <t xml:space="preserve">Utilizar en la fórmula </t>
  </si>
  <si>
    <t>Uso nombres en funciones</t>
  </si>
  <si>
    <t>Nombrar funciones</t>
  </si>
  <si>
    <t>FECHA COMIENZO</t>
  </si>
  <si>
    <t xml:space="preserve">NOMBRE </t>
  </si>
  <si>
    <t>CURSO</t>
  </si>
  <si>
    <t>HORAS</t>
  </si>
  <si>
    <t>IMPORTE</t>
  </si>
  <si>
    <t>PRECIO CON OFERTA INCLUIDA</t>
  </si>
  <si>
    <t>ANA MARTIN</t>
  </si>
  <si>
    <t>OFIMATICA</t>
  </si>
  <si>
    <t>ANTONIO LILLO</t>
  </si>
  <si>
    <t>MARTA JIMENEZ</t>
  </si>
  <si>
    <t>FISCALIDAD</t>
  </si>
  <si>
    <t>BEFOÑA NANDEZ</t>
  </si>
  <si>
    <t>GESTION LABORAL</t>
  </si>
  <si>
    <t>OFICMATICA</t>
  </si>
  <si>
    <t>Damos nombre a esta tabla que no se debe mover</t>
  </si>
  <si>
    <t>Damos nombre a esta tabla que no se debe mover y luego lo usamos en funcion buscarV</t>
  </si>
  <si>
    <t>/=BUSCARV(C4;tablaCursos;2)*D4*1,21</t>
  </si>
  <si>
    <t xml:space="preserve">/=FIN.MES(AHORA();2) Asignar nombre </t>
  </si>
  <si>
    <t>/=ultimo_dia_mes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</si>
</sst>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4" xfId="0" applyBorder="1"/>
    <xf numFmtId="166" fontId="0" fillId="0" borderId="4" xfId="0" applyNumberFormat="1" applyBorder="1"/>
    <xf numFmtId="0" fontId="0" fillId="3" borderId="4" xfId="0" applyFill="1" applyBorder="1"/>
    <xf numFmtId="14" fontId="0" fillId="0" borderId="4" xfId="0" applyNumberFormat="1" applyBorder="1"/>
    <xf numFmtId="2" fontId="0" fillId="0" borderId="4" xfId="0" applyNumberFormat="1" applyBorder="1"/>
    <xf numFmtId="2" fontId="0" fillId="4" borderId="4" xfId="0" applyNumberFormat="1" applyFill="1" applyBorder="1"/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1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8CFB-B73B-4C24-8C82-4F52AC12E2C0}">
  <dimension ref="A9:G13"/>
  <sheetViews>
    <sheetView workbookViewId="0">
      <selection activeCell="A9" sqref="A9:G9"/>
    </sheetView>
  </sheetViews>
  <sheetFormatPr baseColWidth="10" defaultRowHeight="14.4" x14ac:dyDescent="0.3"/>
  <sheetData>
    <row r="9" spans="1:7" x14ac:dyDescent="0.3">
      <c r="A9" s="4" t="s">
        <v>38</v>
      </c>
      <c r="B9" s="4"/>
      <c r="C9" s="4"/>
      <c r="D9" s="4"/>
      <c r="E9" s="4"/>
      <c r="F9" s="4"/>
      <c r="G9" s="4"/>
    </row>
    <row r="10" spans="1:7" x14ac:dyDescent="0.3">
      <c r="A10" s="4" t="s">
        <v>39</v>
      </c>
      <c r="B10" s="4"/>
      <c r="C10" s="4"/>
      <c r="D10" s="4"/>
      <c r="E10" s="4"/>
      <c r="F10" s="4"/>
      <c r="G10" s="4"/>
    </row>
    <row r="11" spans="1:7" ht="31.8" customHeight="1" x14ac:dyDescent="0.3">
      <c r="A11" s="5" t="s">
        <v>40</v>
      </c>
      <c r="B11" s="4"/>
      <c r="C11" s="4"/>
      <c r="D11" s="4"/>
      <c r="E11" s="4"/>
      <c r="F11" s="4"/>
      <c r="G11" s="4"/>
    </row>
    <row r="12" spans="1:7" x14ac:dyDescent="0.3">
      <c r="A12" s="4" t="s">
        <v>37</v>
      </c>
      <c r="B12" s="4"/>
      <c r="C12" s="4"/>
      <c r="D12" s="4"/>
      <c r="E12" s="4"/>
      <c r="F12" s="4"/>
      <c r="G12" s="4"/>
    </row>
    <row r="13" spans="1:7" x14ac:dyDescent="0.3">
      <c r="A13" t="s">
        <v>41</v>
      </c>
    </row>
  </sheetData>
  <mergeCells count="4">
    <mergeCell ref="A12:G12"/>
    <mergeCell ref="A11:G11"/>
    <mergeCell ref="A10:G10"/>
    <mergeCell ref="A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26B-4904-4FF7-872A-AB19A1EE6460}">
  <dimension ref="A3:H20"/>
  <sheetViews>
    <sheetView tabSelected="1" workbookViewId="0">
      <selection activeCell="F4" sqref="F4:F7"/>
    </sheetView>
  </sheetViews>
  <sheetFormatPr baseColWidth="10" defaultRowHeight="14.4" x14ac:dyDescent="0.3"/>
  <cols>
    <col min="1" max="1" width="18" customWidth="1"/>
    <col min="2" max="2" width="17.44140625" customWidth="1"/>
    <col min="3" max="3" width="19.6640625" customWidth="1"/>
    <col min="5" max="5" width="14.44140625" customWidth="1"/>
    <col min="6" max="6" width="27.6640625" customWidth="1"/>
  </cols>
  <sheetData>
    <row r="3" spans="1:8" x14ac:dyDescent="0.3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</row>
    <row r="4" spans="1:8" x14ac:dyDescent="0.3">
      <c r="A4" s="9">
        <v>43141</v>
      </c>
      <c r="B4" s="6" t="s">
        <v>50</v>
      </c>
      <c r="C4" s="6" t="s">
        <v>51</v>
      </c>
      <c r="D4" s="10">
        <v>200</v>
      </c>
      <c r="E4" s="11">
        <f>VLOOKUP(C4,tablaCursos,2)*D4*1.21</f>
        <v>1694</v>
      </c>
      <c r="F4" s="6">
        <f>IF(E4&gt;1500,E4-(E4*30%),E4-(E4*15%))</f>
        <v>1185.8</v>
      </c>
    </row>
    <row r="5" spans="1:8" x14ac:dyDescent="0.3">
      <c r="A5" s="9">
        <v>43142</v>
      </c>
      <c r="B5" s="6" t="s">
        <v>52</v>
      </c>
      <c r="C5" s="6" t="s">
        <v>51</v>
      </c>
      <c r="D5" s="10">
        <v>200</v>
      </c>
      <c r="E5" s="11">
        <f>VLOOKUP(C5,tablaCursos,2)*D5*1.21</f>
        <v>1694</v>
      </c>
      <c r="F5" s="6">
        <f t="shared" ref="F5:F7" si="0">IF(E5&gt;1500,E5-(E5*30%),E5-(E5*15%))</f>
        <v>1185.8</v>
      </c>
    </row>
    <row r="6" spans="1:8" x14ac:dyDescent="0.3">
      <c r="A6" s="9">
        <v>43143</v>
      </c>
      <c r="B6" s="6" t="s">
        <v>53</v>
      </c>
      <c r="C6" s="6" t="s">
        <v>54</v>
      </c>
      <c r="D6" s="10">
        <v>100</v>
      </c>
      <c r="E6" s="11">
        <f>VLOOKUP(C6,tablaCursos,2)*D6*1.21</f>
        <v>726</v>
      </c>
      <c r="F6" s="6">
        <f t="shared" si="0"/>
        <v>617.1</v>
      </c>
      <c r="H6" s="14">
        <f ca="1">EOMONTH(NOW(),2)</f>
        <v>44439</v>
      </c>
    </row>
    <row r="7" spans="1:8" x14ac:dyDescent="0.3">
      <c r="A7" s="9">
        <v>43144</v>
      </c>
      <c r="B7" s="6" t="s">
        <v>55</v>
      </c>
      <c r="C7" s="6" t="s">
        <v>56</v>
      </c>
      <c r="D7" s="10">
        <v>150</v>
      </c>
      <c r="E7" s="11">
        <f>VLOOKUP(C7,tablaCursos,2)*D7*1.21</f>
        <v>1179.75</v>
      </c>
      <c r="F7" s="6">
        <f t="shared" si="0"/>
        <v>1002.7875</v>
      </c>
    </row>
    <row r="9" spans="1:8" x14ac:dyDescent="0.3">
      <c r="A9" s="6" t="s">
        <v>54</v>
      </c>
      <c r="B9" s="7">
        <v>6</v>
      </c>
    </row>
    <row r="10" spans="1:8" x14ac:dyDescent="0.3">
      <c r="A10" s="6" t="s">
        <v>56</v>
      </c>
      <c r="B10" s="7">
        <v>6.5</v>
      </c>
      <c r="C10" t="s">
        <v>58</v>
      </c>
      <c r="H10">
        <f ca="1">ultimo_dia_mes</f>
        <v>44439</v>
      </c>
    </row>
    <row r="11" spans="1:8" x14ac:dyDescent="0.3">
      <c r="A11" s="6" t="s">
        <v>57</v>
      </c>
      <c r="B11" s="7">
        <v>7</v>
      </c>
    </row>
    <row r="14" spans="1:8" x14ac:dyDescent="0.3">
      <c r="A14" s="12" t="s">
        <v>42</v>
      </c>
      <c r="B14" s="12"/>
      <c r="C14" s="12"/>
      <c r="D14" s="12"/>
      <c r="E14" s="12"/>
      <c r="F14" s="12"/>
      <c r="G14" s="12"/>
    </row>
    <row r="15" spans="1:8" x14ac:dyDescent="0.3">
      <c r="A15" s="12" t="s">
        <v>59</v>
      </c>
      <c r="B15" s="12"/>
      <c r="C15" s="12"/>
      <c r="D15" s="12"/>
      <c r="E15" s="12"/>
      <c r="F15" s="12"/>
      <c r="G15" s="12"/>
    </row>
    <row r="16" spans="1:8" x14ac:dyDescent="0.3">
      <c r="A16" s="12" t="s">
        <v>60</v>
      </c>
      <c r="B16" s="12"/>
      <c r="C16" s="12"/>
      <c r="D16" s="12"/>
      <c r="E16" s="12"/>
      <c r="F16" s="12"/>
      <c r="G16" s="12"/>
    </row>
    <row r="17" spans="1:7" x14ac:dyDescent="0.3">
      <c r="A17" s="13" t="s">
        <v>43</v>
      </c>
      <c r="B17" s="13"/>
      <c r="C17" s="13"/>
      <c r="D17" s="13"/>
      <c r="E17" s="13"/>
      <c r="F17" s="13"/>
      <c r="G17" s="13"/>
    </row>
    <row r="18" spans="1:7" x14ac:dyDescent="0.3">
      <c r="A18" s="4" t="s">
        <v>61</v>
      </c>
      <c r="B18" s="4"/>
      <c r="C18" s="4"/>
      <c r="D18" s="4"/>
      <c r="E18" s="4"/>
      <c r="F18" s="4"/>
      <c r="G18" s="4"/>
    </row>
    <row r="19" spans="1:7" x14ac:dyDescent="0.3">
      <c r="A19" s="4" t="s">
        <v>62</v>
      </c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</sheetData>
  <mergeCells count="7">
    <mergeCell ref="A18:G18"/>
    <mergeCell ref="A15:G15"/>
    <mergeCell ref="A19:G19"/>
    <mergeCell ref="A20:G20"/>
    <mergeCell ref="A14:G14"/>
    <mergeCell ref="A16:G16"/>
    <mergeCell ref="A17:G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85BE-76A2-4D9C-BF51-4362CF39937A}">
  <dimension ref="A1:J4"/>
  <sheetViews>
    <sheetView workbookViewId="0">
      <selection activeCell="A12" sqref="A12:G12"/>
    </sheetView>
  </sheetViews>
  <sheetFormatPr baseColWidth="10"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0" x14ac:dyDescent="0.3">
      <c r="G2" t="s">
        <v>36</v>
      </c>
    </row>
    <row r="3" spans="1:10" x14ac:dyDescent="0.3">
      <c r="I3" t="s">
        <v>34</v>
      </c>
      <c r="J3">
        <f>DSUM(BaseProductos,PRODUCTOS!D1,ZonaCriterios)</f>
        <v>114.63</v>
      </c>
    </row>
    <row r="4" spans="1:10" x14ac:dyDescent="0.3">
      <c r="I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3"/>
    </sheetView>
  </sheetViews>
  <sheetFormatPr baseColWidth="10" defaultColWidth="8.88671875" defaultRowHeight="14.4" x14ac:dyDescent="0.3"/>
  <cols>
    <col min="1" max="1" width="21.109375" customWidth="1"/>
    <col min="2" max="2" width="18.33203125" customWidth="1"/>
    <col min="3" max="3" width="24.77734375" customWidth="1"/>
    <col min="5" max="5" width="16" customWidth="1"/>
    <col min="6" max="6" width="15.6640625" customWidth="1"/>
    <col min="7" max="7" width="20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6.63</v>
      </c>
      <c r="E2">
        <v>43760</v>
      </c>
      <c r="F2" t="b">
        <v>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80.75</v>
      </c>
      <c r="E3">
        <v>43761</v>
      </c>
      <c r="F3" t="b">
        <v>1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>
        <v>14.95</v>
      </c>
      <c r="E4">
        <v>43762</v>
      </c>
      <c r="F4" t="b">
        <v>1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>
        <v>35.950000000000003</v>
      </c>
      <c r="E5">
        <v>43763</v>
      </c>
      <c r="F5" t="b">
        <v>0</v>
      </c>
      <c r="G5" t="s">
        <v>22</v>
      </c>
    </row>
    <row r="6" spans="1:7" x14ac:dyDescent="0.3">
      <c r="A6" t="s">
        <v>23</v>
      </c>
      <c r="B6" t="s">
        <v>8</v>
      </c>
      <c r="C6" t="s">
        <v>24</v>
      </c>
      <c r="D6">
        <v>8</v>
      </c>
      <c r="E6">
        <v>43764</v>
      </c>
      <c r="F6" t="b">
        <v>0</v>
      </c>
      <c r="G6" t="s">
        <v>10</v>
      </c>
    </row>
    <row r="7" spans="1:7" x14ac:dyDescent="0.3">
      <c r="A7" t="s">
        <v>25</v>
      </c>
      <c r="B7" t="s">
        <v>12</v>
      </c>
      <c r="C7" t="s">
        <v>26</v>
      </c>
      <c r="D7">
        <v>21</v>
      </c>
      <c r="E7">
        <v>43765</v>
      </c>
      <c r="F7" t="b">
        <v>1</v>
      </c>
      <c r="G7" t="s">
        <v>22</v>
      </c>
    </row>
    <row r="8" spans="1:7" x14ac:dyDescent="0.3">
      <c r="A8" t="s">
        <v>27</v>
      </c>
      <c r="B8" t="s">
        <v>16</v>
      </c>
      <c r="C8" t="s">
        <v>28</v>
      </c>
      <c r="D8">
        <v>7</v>
      </c>
      <c r="E8">
        <v>43766</v>
      </c>
      <c r="F8" t="b">
        <v>1</v>
      </c>
      <c r="G8" t="s">
        <v>14</v>
      </c>
    </row>
    <row r="9" spans="1:7" x14ac:dyDescent="0.3">
      <c r="A9" t="s">
        <v>29</v>
      </c>
      <c r="B9" t="s">
        <v>20</v>
      </c>
      <c r="C9" t="s">
        <v>30</v>
      </c>
      <c r="D9">
        <v>40</v>
      </c>
      <c r="E9">
        <v>43767</v>
      </c>
      <c r="F9" t="b">
        <v>0</v>
      </c>
      <c r="G9" t="s">
        <v>10</v>
      </c>
    </row>
    <row r="10" spans="1:7" x14ac:dyDescent="0.3">
      <c r="A10" t="s">
        <v>25</v>
      </c>
      <c r="B10" t="s">
        <v>12</v>
      </c>
      <c r="C10" t="s">
        <v>31</v>
      </c>
      <c r="D10">
        <v>21</v>
      </c>
      <c r="E10">
        <v>43765</v>
      </c>
      <c r="F10" t="b">
        <v>1</v>
      </c>
      <c r="G10" t="s">
        <v>22</v>
      </c>
    </row>
    <row r="11" spans="1:7" x14ac:dyDescent="0.3">
      <c r="A11" t="s">
        <v>25</v>
      </c>
      <c r="B11" t="s">
        <v>12</v>
      </c>
      <c r="C11" t="s">
        <v>32</v>
      </c>
      <c r="D11">
        <v>21</v>
      </c>
      <c r="E11">
        <v>43765</v>
      </c>
      <c r="F11" t="b">
        <v>1</v>
      </c>
      <c r="G11" t="s">
        <v>22</v>
      </c>
    </row>
    <row r="12" spans="1:7" x14ac:dyDescent="0.3">
      <c r="A12" t="s">
        <v>25</v>
      </c>
      <c r="B12" t="s">
        <v>12</v>
      </c>
      <c r="C12" t="s">
        <v>33</v>
      </c>
      <c r="D12">
        <v>21</v>
      </c>
      <c r="E12">
        <v>43765</v>
      </c>
      <c r="F12" t="b">
        <v>1</v>
      </c>
      <c r="G12" t="s">
        <v>22</v>
      </c>
    </row>
    <row r="13" spans="1:7" x14ac:dyDescent="0.3">
      <c r="A13" t="s">
        <v>29</v>
      </c>
      <c r="B13" t="s">
        <v>20</v>
      </c>
      <c r="C13" t="s">
        <v>30</v>
      </c>
      <c r="D13">
        <v>60</v>
      </c>
      <c r="E13">
        <v>43767</v>
      </c>
      <c r="F13" t="b">
        <v>0</v>
      </c>
      <c r="G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1-Nombres_1</vt:lpstr>
      <vt:lpstr>2-Nombres_2</vt:lpstr>
      <vt:lpstr>Criterios</vt:lpstr>
      <vt:lpstr>PRODUCTOS</vt:lpstr>
      <vt:lpstr>BaseProductos</vt:lpstr>
      <vt:lpstr>tablaCursos</vt:lpstr>
      <vt:lpstr>ultimo_dia_mes</vt:lpstr>
      <vt:lpstr>ZonaCriterios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2021-06-08T15:43:40Z</dcterms:modified>
</cp:coreProperties>
</file>
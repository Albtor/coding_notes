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E60BC8EA-B97C-47DB-BFC2-79B61D8EB255}" xr6:coauthVersionLast="46" xr6:coauthVersionMax="46" xr10:uidLastSave="{00000000-0000-0000-0000-000000000000}"/>
  <bookViews>
    <workbookView xWindow="34320" yWindow="2610" windowWidth="20670" windowHeight="10410" firstSheet="2" activeTab="6" xr2:uid="{00000000-000D-0000-FFFF-FFFF00000000}"/>
  </bookViews>
  <sheets>
    <sheet name="1-Funciones_1" sheetId="1" r:id="rId1"/>
    <sheet name="2-Funciones_2" sheetId="2" r:id="rId2"/>
    <sheet name="3-Funciones_3" sheetId="3" r:id="rId3"/>
    <sheet name="4-Funciones_4" sheetId="4" r:id="rId4"/>
    <sheet name="5-Funciones_5" sheetId="5" r:id="rId5"/>
    <sheet name="6-Funciones_6" sheetId="6" r:id="rId6"/>
    <sheet name="7-Funciones_7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8" l="1"/>
  <c r="F42" i="8"/>
  <c r="F43" i="8"/>
  <c r="F44" i="8"/>
  <c r="E42" i="8"/>
  <c r="E43" i="8"/>
  <c r="E44" i="8"/>
  <c r="E41" i="8"/>
  <c r="E26" i="8"/>
  <c r="F26" i="8" s="1"/>
  <c r="E27" i="8"/>
  <c r="F27" i="8" s="1"/>
  <c r="E28" i="8"/>
  <c r="F28" i="8" s="1"/>
  <c r="E29" i="8"/>
  <c r="F29" i="8" s="1"/>
  <c r="E30" i="8"/>
  <c r="F30" i="8" s="1"/>
  <c r="C14" i="8"/>
  <c r="C15" i="8"/>
  <c r="C16" i="8"/>
  <c r="C17" i="8"/>
  <c r="H5" i="8"/>
  <c r="H4" i="8"/>
  <c r="H3" i="8"/>
  <c r="H2" i="8"/>
  <c r="F27" i="6"/>
  <c r="F26" i="6"/>
  <c r="D27" i="6"/>
  <c r="D26" i="6"/>
  <c r="F23" i="6"/>
  <c r="F24" i="6"/>
  <c r="F25" i="6"/>
  <c r="D24" i="6"/>
  <c r="D25" i="6"/>
  <c r="D23" i="6"/>
  <c r="G7" i="6"/>
  <c r="G5" i="6"/>
  <c r="G3" i="6"/>
  <c r="G4" i="6"/>
  <c r="G2" i="6"/>
  <c r="D35" i="5"/>
  <c r="E35" i="5" s="1"/>
  <c r="E28" i="5"/>
  <c r="E29" i="5"/>
  <c r="E30" i="5"/>
  <c r="E31" i="5"/>
  <c r="E32" i="5"/>
  <c r="E33" i="5"/>
  <c r="E34" i="5"/>
  <c r="D29" i="5"/>
  <c r="D30" i="5"/>
  <c r="D31" i="5"/>
  <c r="D32" i="5"/>
  <c r="D33" i="5"/>
  <c r="D34" i="5"/>
  <c r="D28" i="5"/>
  <c r="H17" i="5"/>
  <c r="G17" i="5"/>
  <c r="D17" i="5"/>
  <c r="E17" i="5"/>
  <c r="H11" i="5"/>
  <c r="H12" i="5"/>
  <c r="H13" i="5"/>
  <c r="H14" i="5"/>
  <c r="H15" i="5"/>
  <c r="H16" i="5"/>
  <c r="G11" i="5"/>
  <c r="G16" i="5"/>
  <c r="E16" i="5"/>
  <c r="D16" i="5"/>
  <c r="G12" i="5"/>
  <c r="G13" i="5"/>
  <c r="G14" i="5"/>
  <c r="G15" i="5"/>
  <c r="E15" i="5"/>
  <c r="D15" i="5"/>
  <c r="E14" i="5"/>
  <c r="D14" i="5"/>
  <c r="E13" i="5"/>
  <c r="D13" i="5"/>
  <c r="E12" i="5"/>
  <c r="D12" i="5"/>
  <c r="E11" i="5"/>
  <c r="D11" i="5"/>
  <c r="E2" i="5"/>
  <c r="E3" i="5"/>
  <c r="E4" i="5"/>
  <c r="E5" i="5"/>
  <c r="E6" i="5"/>
  <c r="D6" i="5"/>
  <c r="F6" i="5" s="1"/>
  <c r="D5" i="5"/>
  <c r="F5" i="5" s="1"/>
  <c r="D4" i="5"/>
  <c r="F4" i="5" s="1"/>
  <c r="F3" i="5"/>
  <c r="D3" i="5"/>
  <c r="D2" i="5"/>
  <c r="F2" i="5" s="1"/>
  <c r="E2" i="4"/>
  <c r="E3" i="4"/>
  <c r="E4" i="4"/>
  <c r="E5" i="4"/>
  <c r="E6" i="4"/>
  <c r="D2" i="4"/>
  <c r="F2" i="4" s="1"/>
  <c r="F3" i="4"/>
  <c r="F5" i="4"/>
  <c r="F6" i="4"/>
  <c r="D3" i="4"/>
  <c r="D4" i="4"/>
  <c r="F4" i="4" s="1"/>
  <c r="D5" i="4"/>
  <c r="D6" i="4"/>
  <c r="D3" i="3"/>
  <c r="D4" i="3"/>
  <c r="D5" i="3"/>
  <c r="D6" i="3"/>
  <c r="D2" i="3"/>
  <c r="C6" i="3"/>
  <c r="C3" i="3"/>
  <c r="C4" i="3"/>
  <c r="C5" i="3"/>
  <c r="C2" i="3"/>
  <c r="H3" i="1"/>
  <c r="G3" i="2" l="1"/>
  <c r="J2" i="2"/>
  <c r="I2" i="2"/>
  <c r="H2" i="2"/>
  <c r="G2" i="2"/>
  <c r="J2" i="1"/>
  <c r="I2" i="1"/>
  <c r="H2" i="1"/>
  <c r="G3" i="1"/>
  <c r="G2" i="1"/>
</calcChain>
</file>

<file path=xl/sharedStrings.xml><?xml version="1.0" encoding="utf-8"?>
<sst xmlns="http://schemas.openxmlformats.org/spreadsheetml/2006/main" count="243" uniqueCount="138">
  <si>
    <t xml:space="preserve">SECCION </t>
  </si>
  <si>
    <t>NOMBRE ARTICULO</t>
  </si>
  <si>
    <t>FECHA</t>
  </si>
  <si>
    <t>PAIS ORIGEN</t>
  </si>
  <si>
    <t>PRECIO</t>
  </si>
  <si>
    <t>SUMA TOTAL</t>
  </si>
  <si>
    <t>PROMEDIO</t>
  </si>
  <si>
    <t>MAS CARO</t>
  </si>
  <si>
    <t>MAS BARATO</t>
  </si>
  <si>
    <t>CERAMICA</t>
  </si>
  <si>
    <t>Tubos</t>
  </si>
  <si>
    <t>China</t>
  </si>
  <si>
    <t>España</t>
  </si>
  <si>
    <t>UK</t>
  </si>
  <si>
    <t>DEPEORTE</t>
  </si>
  <si>
    <t>Chandal</t>
  </si>
  <si>
    <t>CONFECCION</t>
  </si>
  <si>
    <t>Cazadora</t>
  </si>
  <si>
    <t>MAX</t>
  </si>
  <si>
    <t>MIN</t>
  </si>
  <si>
    <t>Asistente de funciones</t>
  </si>
  <si>
    <t>Asistente de funciones Fx, o Formulas &gt; Insertar Funcion</t>
  </si>
  <si>
    <t>ALUMNO</t>
  </si>
  <si>
    <t xml:space="preserve">NOTA </t>
  </si>
  <si>
    <t>CALIFICACION</t>
  </si>
  <si>
    <t>Antonio</t>
  </si>
  <si>
    <t>Sara</t>
  </si>
  <si>
    <t>Juan</t>
  </si>
  <si>
    <t>Pepe</t>
  </si>
  <si>
    <t>Esme</t>
  </si>
  <si>
    <t>FUNCION SI - Categoria Logicas</t>
  </si>
  <si>
    <t>Condición verdadera y falsa</t>
  </si>
  <si>
    <t>Varias alternativas</t>
  </si>
  <si>
    <t>BECA</t>
  </si>
  <si>
    <t>Modificar una funcion ya creada: Modificar una y luego arrastra</t>
  </si>
  <si>
    <t>SIN BECA</t>
  </si>
  <si>
    <t>Con referencias</t>
  </si>
  <si>
    <t>Uso de referencias dentro de la formula</t>
  </si>
  <si>
    <t>BECADO</t>
  </si>
  <si>
    <t>PARCIAL 1</t>
  </si>
  <si>
    <t>PARCIAL 2</t>
  </si>
  <si>
    <t>Funciones Anidadas</t>
  </si>
  <si>
    <t>Menu Desplegable arriba a la izq</t>
  </si>
  <si>
    <t xml:space="preserve">FUNCIONES Y / O;  &amp; | </t>
  </si>
  <si>
    <t>CALIFICACION 2 APROBADAS</t>
  </si>
  <si>
    <t>BECA a los que hayan aprobado uno  de los dos parciales</t>
  </si>
  <si>
    <t>/=SI(O(B2&gt;=5;C2&gt;=5);"APROBADO";"SUSPENSO")</t>
  </si>
  <si>
    <t>HERMANOS CENTRO</t>
  </si>
  <si>
    <t>BECA 2</t>
  </si>
  <si>
    <t>BECA2 /=SI(O(Y(B11&gt;=5;C11&gt;=5);(F11&gt;=2));"BECA";"SIN BECA") SI aprueban 2 parciales O tiene más de 2 hermanos</t>
  </si>
  <si>
    <t>Aitor</t>
  </si>
  <si>
    <t>Lu</t>
  </si>
  <si>
    <t>BECA /=SI(O(B11&gt;=5;C11&gt;=5;F11&gt;=2);"BECADO";"SIN BECA") Si se aprueba cualquier parcial o tiene 2 o mas hermanos</t>
  </si>
  <si>
    <t>NOTAFINAL</t>
  </si>
  <si>
    <t>/=SI(D28&lt;5;"INSUFICIENTE";SI(D28&lt;6;"SUFICIENTE";SI(D28&lt;7;"BIEN";SI(D28&lt;9;"NOTABLE";SI(D28&lt;10;"SOBRESALIENTE";SI(D28=10;"MATRICULA"))))))</t>
  </si>
  <si>
    <t>Notas según la media: Aprobado, Bien, Notable</t>
  </si>
  <si>
    <t>PRECIO CON IVA</t>
  </si>
  <si>
    <t>CONTROL DE ERRORES</t>
  </si>
  <si>
    <t>COCINA</t>
  </si>
  <si>
    <t>Cazo</t>
  </si>
  <si>
    <t>re</t>
  </si>
  <si>
    <t>Ignorar Valor de error, Agregar</t>
  </si>
  <si>
    <t>/=AGREGAR(9;6;G2:G5) //Usar tabulador para elegir las opciones</t>
  </si>
  <si>
    <t>TABLA PARA CALCULO DE DESCUENTO DE FACTURAS</t>
  </si>
  <si>
    <t>SI PAGA ANTES DE 10 DIAS SE APLICA 10% DESCUENTO</t>
  </si>
  <si>
    <t>FACTURA</t>
  </si>
  <si>
    <t>SERVIDO</t>
  </si>
  <si>
    <t>PAGADO</t>
  </si>
  <si>
    <t>DIAS</t>
  </si>
  <si>
    <t xml:space="preserve">IMPORTE </t>
  </si>
  <si>
    <t>A PAGAR</t>
  </si>
  <si>
    <t>ASD128</t>
  </si>
  <si>
    <t>9834SD</t>
  </si>
  <si>
    <t>7734YY</t>
  </si>
  <si>
    <t>SI PAGA ANTES DE 15 DIAS SE APLICA 5% DESCUENTO</t>
  </si>
  <si>
    <t>SI PAGA DESPUES DE 20 DIAS SE APLICA 2% DESCUENTO</t>
  </si>
  <si>
    <t>Restar fechas, como numeros o  /=DIAS360(C23-B23)</t>
  </si>
  <si>
    <t>FFN2323</t>
  </si>
  <si>
    <t>Introduce importe</t>
  </si>
  <si>
    <t>/=SI.ERROR(SI(D26&amp;lt;10;E26-(E26*10%);SI(D26&amp;lt;15;E26-(E26*5%);E26-(E26*2%)));" ")</t>
  </si>
  <si>
    <t>//SI.ERROR
    /=SI.ERROR(SI(D27&amp;lt;10;E27-(E27*10%);SI(D27&amp;lt;15;E27-(E27*5%);E27-(E27*2%)));"NADA")</t>
  </si>
  <si>
    <t xml:space="preserve">Nº ALUMNO </t>
  </si>
  <si>
    <t>NOMBRE</t>
  </si>
  <si>
    <t xml:space="preserve">DIRECCION </t>
  </si>
  <si>
    <t>CURSO</t>
  </si>
  <si>
    <t>BUSCARV</t>
  </si>
  <si>
    <t>GranVia</t>
  </si>
  <si>
    <t>Hermanos T</t>
  </si>
  <si>
    <t>Fran</t>
  </si>
  <si>
    <t>Atocha</t>
  </si>
  <si>
    <t>Eleonor</t>
  </si>
  <si>
    <t>Prado</t>
  </si>
  <si>
    <t>/=BUSCARV(H1;A2:E5;2;0)</t>
  </si>
  <si>
    <t>2º</t>
  </si>
  <si>
    <t>3º</t>
  </si>
  <si>
    <t>1º</t>
  </si>
  <si>
    <t>4º</t>
  </si>
  <si>
    <t>Formulas, insertar formulas Buscar V. Parametros obligatorios</t>
  </si>
  <si>
    <t>Valor buscado: la celda en la que intruduce el usuario el dato a Buscador
    Matriz: Tabla sin los encabezados
    Indicador Columnas: Que columna tiene el dato. Se especifica un número
    Rango (opcional): valor logico verdadero: coincidencia cercana 1 o falso 2 coincidencia exacta</t>
  </si>
  <si>
    <t xml:space="preserve">ALUMNO </t>
  </si>
  <si>
    <t xml:space="preserve">RECORD </t>
  </si>
  <si>
    <t>RANGO</t>
  </si>
  <si>
    <t>VALOR</t>
  </si>
  <si>
    <t>F</t>
  </si>
  <si>
    <t>D</t>
  </si>
  <si>
    <t>C</t>
  </si>
  <si>
    <t>B</t>
  </si>
  <si>
    <t>A</t>
  </si>
  <si>
    <t>Uso de rango, no se busca la coincidencia exacta, sino la más cercana</t>
  </si>
  <si>
    <t>Necesario que el rango esté ordenado ascendentemente</t>
  </si>
  <si>
    <t>Usar referencias absolutas</t>
  </si>
  <si>
    <t>ANALISIS DE VENDEDORES</t>
  </si>
  <si>
    <t>VENDEDOR</t>
  </si>
  <si>
    <t>TIPO</t>
  </si>
  <si>
    <t>IMPORTE</t>
  </si>
  <si>
    <t>COMISION</t>
  </si>
  <si>
    <t>TOT.ACTUAL</t>
  </si>
  <si>
    <t>Aguirre</t>
  </si>
  <si>
    <t>Casado</t>
  </si>
  <si>
    <t>Iñiguez</t>
  </si>
  <si>
    <t>Ramirez</t>
  </si>
  <si>
    <t>Martinez</t>
  </si>
  <si>
    <t>UNIDADES</t>
  </si>
  <si>
    <t>PRECIO UNITARIO</t>
  </si>
  <si>
    <t>TIPO DE COMISION</t>
  </si>
  <si>
    <t>Tipo</t>
  </si>
  <si>
    <t>%</t>
  </si>
  <si>
    <t>ASISTENTES HACE 3 SEMANAS</t>
  </si>
  <si>
    <t>ASISTENTES HOY</t>
  </si>
  <si>
    <t>NUEVOS</t>
  </si>
  <si>
    <t>Ana Lopez</t>
  </si>
  <si>
    <t>David Garcia</t>
  </si>
  <si>
    <t>Luis Amador</t>
  </si>
  <si>
    <t>Ana Delgado</t>
  </si>
  <si>
    <t>Rebeca Ledesma</t>
  </si>
  <si>
    <t>Javier Agraz</t>
  </si>
  <si>
    <t>David García</t>
  </si>
  <si>
    <t>Donde da error es donde hay personas nuevas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</si>
</sst>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D898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0" borderId="3" xfId="0" applyBorder="1"/>
    <xf numFmtId="0" fontId="0" fillId="4" borderId="1" xfId="0" applyFill="1" applyBorder="1"/>
    <xf numFmtId="0" fontId="0" fillId="4" borderId="2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164" fontId="0" fillId="5" borderId="0" xfId="0" applyNumberFormat="1" applyFill="1"/>
    <xf numFmtId="9" fontId="0" fillId="6" borderId="0" xfId="0" applyNumberFormat="1" applyFill="1"/>
    <xf numFmtId="0" fontId="0" fillId="8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7" borderId="4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4" borderId="0" xfId="0" applyFill="1"/>
    <xf numFmtId="0" fontId="0" fillId="4" borderId="5" xfId="0" applyFill="1" applyBorder="1"/>
    <xf numFmtId="0" fontId="0" fillId="9" borderId="5" xfId="0" applyFill="1" applyBorder="1" applyAlignment="1">
      <alignment horizontal="left"/>
    </xf>
    <xf numFmtId="0" fontId="2" fillId="10" borderId="5" xfId="0" applyFon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0" fillId="6" borderId="0" xfId="0" applyFill="1"/>
    <xf numFmtId="164" fontId="0" fillId="12" borderId="0" xfId="0" applyNumberFormat="1" applyFill="1"/>
    <xf numFmtId="0" fontId="0" fillId="11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8987"/>
      <color rgb="FF856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opLeftCell="A6" workbookViewId="0">
      <selection activeCell="A11" sqref="A11:G11"/>
    </sheetView>
  </sheetViews>
  <sheetFormatPr baseColWidth="10" defaultColWidth="8.88671875" defaultRowHeight="14.4" x14ac:dyDescent="0.3"/>
  <cols>
    <col min="1" max="1" width="12.77734375" customWidth="1"/>
    <col min="2" max="2" width="18.6640625" customWidth="1"/>
    <col min="3" max="3" width="11.109375" customWidth="1"/>
    <col min="4" max="4" width="12.33203125" customWidth="1"/>
    <col min="7" max="7" width="12.33203125" customWidth="1"/>
    <col min="8" max="8" width="13.77734375" customWidth="1"/>
    <col min="9" max="9" width="11.6640625" customWidth="1"/>
    <col min="10" max="10" width="13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10</v>
      </c>
      <c r="C2" s="2">
        <v>36552</v>
      </c>
      <c r="D2" t="s">
        <v>11</v>
      </c>
      <c r="E2" s="3">
        <v>140.35</v>
      </c>
      <c r="G2" s="3">
        <f>SUM(E2,E3,E4)</f>
        <v>420.99999999999994</v>
      </c>
      <c r="H2" s="3">
        <f>AVERAGE(E2:E4)</f>
        <v>140.33333333333331</v>
      </c>
      <c r="I2" s="3">
        <f>MAX(E2:E4)</f>
        <v>192.45</v>
      </c>
      <c r="J2" s="3">
        <f>MIN(E2:E4)</f>
        <v>88.2</v>
      </c>
    </row>
    <row r="3" spans="1:10" x14ac:dyDescent="0.3">
      <c r="A3" t="s">
        <v>14</v>
      </c>
      <c r="B3" t="s">
        <v>15</v>
      </c>
      <c r="C3" s="2">
        <v>39841</v>
      </c>
      <c r="D3" t="s">
        <v>12</v>
      </c>
      <c r="E3" s="3">
        <v>192.45</v>
      </c>
      <c r="G3" s="3">
        <f>SUM(E2,E3:E4)</f>
        <v>420.99999999999994</v>
      </c>
      <c r="H3" s="3">
        <f>AVERAGE(E2,E3,E5)</f>
        <v>166.39999999999998</v>
      </c>
    </row>
    <row r="4" spans="1:10" x14ac:dyDescent="0.3">
      <c r="A4" t="s">
        <v>16</v>
      </c>
      <c r="B4" t="s">
        <v>17</v>
      </c>
      <c r="C4" s="2">
        <v>40937</v>
      </c>
      <c r="D4" t="s">
        <v>13</v>
      </c>
      <c r="E4" s="3">
        <v>88.2</v>
      </c>
    </row>
    <row r="5" spans="1:10" x14ac:dyDescent="0.3">
      <c r="E5" s="3"/>
    </row>
    <row r="6" spans="1:10" x14ac:dyDescent="0.3">
      <c r="E6" s="3"/>
    </row>
    <row r="7" spans="1:10" x14ac:dyDescent="0.3">
      <c r="A7" s="15"/>
      <c r="B7" s="15"/>
      <c r="C7" s="15"/>
      <c r="D7" s="15"/>
      <c r="E7" s="15"/>
      <c r="F7" s="15"/>
      <c r="G7" s="15"/>
    </row>
    <row r="8" spans="1:10" x14ac:dyDescent="0.3">
      <c r="A8" s="15" t="s">
        <v>6</v>
      </c>
      <c r="B8" s="15"/>
      <c r="C8" s="15"/>
      <c r="D8" s="15"/>
      <c r="E8" s="15"/>
      <c r="F8" s="15"/>
      <c r="G8" s="15"/>
    </row>
    <row r="9" spans="1:10" x14ac:dyDescent="0.3">
      <c r="A9" s="15" t="s">
        <v>18</v>
      </c>
      <c r="B9" s="15"/>
      <c r="C9" s="15"/>
      <c r="D9" s="15"/>
      <c r="E9" s="15"/>
      <c r="F9" s="15"/>
      <c r="G9" s="15"/>
    </row>
    <row r="10" spans="1:10" x14ac:dyDescent="0.3">
      <c r="A10" s="15" t="s">
        <v>19</v>
      </c>
      <c r="B10" s="15"/>
      <c r="C10" s="15"/>
      <c r="D10" s="15"/>
      <c r="E10" s="15"/>
      <c r="F10" s="15"/>
      <c r="G10" s="15"/>
    </row>
    <row r="11" spans="1:10" x14ac:dyDescent="0.3">
      <c r="A11" s="15" t="s">
        <v>20</v>
      </c>
      <c r="B11" s="15"/>
      <c r="C11" s="15"/>
      <c r="D11" s="15"/>
      <c r="E11" s="15"/>
      <c r="F11" s="15"/>
      <c r="G11" s="15"/>
    </row>
    <row r="12" spans="1:10" x14ac:dyDescent="0.3">
      <c r="E12" s="3"/>
    </row>
    <row r="13" spans="1:10" x14ac:dyDescent="0.3">
      <c r="E13" s="3"/>
    </row>
    <row r="19" spans="1:7" x14ac:dyDescent="0.3">
      <c r="A19" s="15"/>
      <c r="B19" s="15"/>
      <c r="C19" s="15"/>
      <c r="D19" s="15"/>
      <c r="E19" s="15"/>
      <c r="F19" s="15"/>
      <c r="G19" s="15"/>
    </row>
  </sheetData>
  <mergeCells count="6">
    <mergeCell ref="A19:G19"/>
    <mergeCell ref="A7:G7"/>
    <mergeCell ref="A8:G8"/>
    <mergeCell ref="A9:G9"/>
    <mergeCell ref="A10:G10"/>
    <mergeCell ref="A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BEDA-13AC-4201-B707-A2CA1C0B2A83}">
  <dimension ref="A1:J14"/>
  <sheetViews>
    <sheetView workbookViewId="0">
      <selection sqref="A1:J14"/>
    </sheetView>
  </sheetViews>
  <sheetFormatPr baseColWidth="10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10</v>
      </c>
      <c r="C2" s="2">
        <v>36552</v>
      </c>
      <c r="D2" t="s">
        <v>11</v>
      </c>
      <c r="E2" s="3">
        <v>140.35</v>
      </c>
      <c r="G2" s="3">
        <f>SUM(E2,E3,E4)</f>
        <v>420.99999999999994</v>
      </c>
      <c r="H2" s="3">
        <f>AVERAGE(E2:E4)</f>
        <v>140.33333333333331</v>
      </c>
      <c r="I2" s="3">
        <f>MAX(E2:E4)</f>
        <v>192.45</v>
      </c>
      <c r="J2" s="3">
        <f>MIN(E2:E4)</f>
        <v>88.2</v>
      </c>
    </row>
    <row r="3" spans="1:10" x14ac:dyDescent="0.3">
      <c r="A3" t="s">
        <v>14</v>
      </c>
      <c r="B3" t="s">
        <v>15</v>
      </c>
      <c r="C3" s="2">
        <v>39841</v>
      </c>
      <c r="D3" t="s">
        <v>12</v>
      </c>
      <c r="E3" s="3">
        <v>192.45</v>
      </c>
      <c r="G3" s="3">
        <f>SUM(E2,E3:E4)</f>
        <v>420.99999999999994</v>
      </c>
    </row>
    <row r="4" spans="1:10" x14ac:dyDescent="0.3">
      <c r="A4" t="s">
        <v>16</v>
      </c>
      <c r="B4" t="s">
        <v>17</v>
      </c>
      <c r="C4" s="2">
        <v>40937</v>
      </c>
      <c r="D4" t="s">
        <v>13</v>
      </c>
      <c r="E4" s="3">
        <v>88.2</v>
      </c>
    </row>
    <row r="10" spans="1:10" x14ac:dyDescent="0.3">
      <c r="A10" s="15" t="s">
        <v>21</v>
      </c>
      <c r="B10" s="15"/>
      <c r="C10" s="15"/>
      <c r="D10" s="15"/>
      <c r="E10" s="15"/>
      <c r="F10" s="15"/>
      <c r="G10" s="15"/>
    </row>
    <row r="11" spans="1:10" x14ac:dyDescent="0.3">
      <c r="A11" s="15" t="s">
        <v>6</v>
      </c>
      <c r="B11" s="15"/>
      <c r="C11" s="15"/>
      <c r="D11" s="15"/>
      <c r="E11" s="15"/>
      <c r="F11" s="15"/>
      <c r="G11" s="15"/>
    </row>
    <row r="12" spans="1:10" x14ac:dyDescent="0.3">
      <c r="A12" s="15" t="s">
        <v>18</v>
      </c>
      <c r="B12" s="15"/>
      <c r="C12" s="15"/>
      <c r="D12" s="15"/>
      <c r="E12" s="15"/>
      <c r="F12" s="15"/>
      <c r="G12" s="15"/>
    </row>
    <row r="13" spans="1:10" x14ac:dyDescent="0.3">
      <c r="A13" s="15" t="s">
        <v>19</v>
      </c>
      <c r="B13" s="15"/>
      <c r="C13" s="15"/>
      <c r="D13" s="15"/>
      <c r="E13" s="15"/>
      <c r="F13" s="15"/>
      <c r="G13" s="15"/>
    </row>
    <row r="14" spans="1:10" x14ac:dyDescent="0.3">
      <c r="A14" s="15" t="s">
        <v>20</v>
      </c>
      <c r="B14" s="15"/>
      <c r="C14" s="15"/>
      <c r="D14" s="15"/>
      <c r="E14" s="15"/>
      <c r="F14" s="15"/>
      <c r="G14" s="15"/>
    </row>
  </sheetData>
  <mergeCells count="5">
    <mergeCell ref="A10:G10"/>
    <mergeCell ref="A11:G11"/>
    <mergeCell ref="A12:G12"/>
    <mergeCell ref="A13:G13"/>
    <mergeCell ref="A14:G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12DA-7636-4752-AE31-C3CA094CC3A8}">
  <dimension ref="A1:G13"/>
  <sheetViews>
    <sheetView workbookViewId="0">
      <selection sqref="A1:G13"/>
    </sheetView>
  </sheetViews>
  <sheetFormatPr baseColWidth="10" defaultRowHeight="14.4" x14ac:dyDescent="0.3"/>
  <cols>
    <col min="3" max="3" width="14.44140625" customWidth="1"/>
    <col min="4" max="4" width="16.33203125" customWidth="1"/>
    <col min="6" max="6" width="14.44140625" customWidth="1"/>
  </cols>
  <sheetData>
    <row r="1" spans="1:7" x14ac:dyDescent="0.3">
      <c r="A1" s="4" t="s">
        <v>22</v>
      </c>
      <c r="B1" s="4" t="s">
        <v>23</v>
      </c>
      <c r="C1" s="4" t="s">
        <v>24</v>
      </c>
      <c r="D1" s="4" t="s">
        <v>33</v>
      </c>
    </row>
    <row r="2" spans="1:7" x14ac:dyDescent="0.3">
      <c r="A2" t="s">
        <v>25</v>
      </c>
      <c r="B2">
        <v>7</v>
      </c>
      <c r="C2" t="str">
        <f>IF(B2&gt;=5,"APROBADO","SUSPENSO")</f>
        <v>APROBADO</v>
      </c>
      <c r="D2" t="str">
        <f>IF(B2&gt;=6,$F$2,$F$3)</f>
        <v>BECADO</v>
      </c>
      <c r="F2" s="6" t="s">
        <v>38</v>
      </c>
    </row>
    <row r="3" spans="1:7" x14ac:dyDescent="0.3">
      <c r="A3" t="s">
        <v>26</v>
      </c>
      <c r="B3">
        <v>3</v>
      </c>
      <c r="C3" t="str">
        <f t="shared" ref="C3:C6" si="0">IF(B3&gt;=5,"APROBADO","SUSPENSO")</f>
        <v>SUSPENSO</v>
      </c>
      <c r="D3" t="str">
        <f t="shared" ref="D3:D6" si="1">IF(B3&gt;=6,$F$2,$F$3)</f>
        <v>SIN BECA</v>
      </c>
      <c r="F3" s="7" t="s">
        <v>35</v>
      </c>
    </row>
    <row r="4" spans="1:7" x14ac:dyDescent="0.3">
      <c r="A4" t="s">
        <v>27</v>
      </c>
      <c r="B4">
        <v>5</v>
      </c>
      <c r="C4" t="str">
        <f t="shared" si="0"/>
        <v>APROBADO</v>
      </c>
      <c r="D4" t="str">
        <f t="shared" si="1"/>
        <v>SIN BECA</v>
      </c>
      <c r="F4" s="5" t="s">
        <v>36</v>
      </c>
    </row>
    <row r="5" spans="1:7" x14ac:dyDescent="0.3">
      <c r="A5" t="s">
        <v>28</v>
      </c>
      <c r="B5">
        <v>1</v>
      </c>
      <c r="C5" t="str">
        <f t="shared" si="0"/>
        <v>SUSPENSO</v>
      </c>
      <c r="D5" t="str">
        <f t="shared" si="1"/>
        <v>SIN BECA</v>
      </c>
    </row>
    <row r="6" spans="1:7" x14ac:dyDescent="0.3">
      <c r="A6" t="s">
        <v>29</v>
      </c>
      <c r="B6">
        <v>10</v>
      </c>
      <c r="C6" t="str">
        <f t="shared" si="0"/>
        <v>APROBADO</v>
      </c>
      <c r="D6" t="str">
        <f t="shared" si="1"/>
        <v>BECADO</v>
      </c>
    </row>
    <row r="9" spans="1:7" x14ac:dyDescent="0.3">
      <c r="A9" s="15" t="s">
        <v>30</v>
      </c>
      <c r="B9" s="15"/>
      <c r="C9" s="15"/>
      <c r="D9" s="15"/>
      <c r="E9" s="15"/>
      <c r="F9" s="15"/>
      <c r="G9" s="15"/>
    </row>
    <row r="10" spans="1:7" x14ac:dyDescent="0.3">
      <c r="A10" s="15" t="s">
        <v>31</v>
      </c>
      <c r="B10" s="15"/>
      <c r="C10" s="15"/>
      <c r="D10" s="15"/>
      <c r="E10" s="15"/>
      <c r="F10" s="15"/>
      <c r="G10" s="15"/>
    </row>
    <row r="11" spans="1:7" x14ac:dyDescent="0.3">
      <c r="A11" s="15" t="s">
        <v>32</v>
      </c>
      <c r="B11" s="15"/>
      <c r="C11" s="15"/>
      <c r="D11" s="15"/>
      <c r="E11" s="15"/>
      <c r="F11" s="15"/>
      <c r="G11" s="15"/>
    </row>
    <row r="12" spans="1:7" x14ac:dyDescent="0.3">
      <c r="A12" s="15" t="s">
        <v>34</v>
      </c>
      <c r="B12" s="15"/>
      <c r="C12" s="15"/>
      <c r="D12" s="15"/>
      <c r="E12" s="15"/>
      <c r="F12" s="15"/>
      <c r="G12" s="15"/>
    </row>
    <row r="13" spans="1:7" x14ac:dyDescent="0.3">
      <c r="A13" s="15" t="s">
        <v>37</v>
      </c>
      <c r="B13" s="15"/>
      <c r="C13" s="15"/>
      <c r="D13" s="15"/>
      <c r="E13" s="15"/>
      <c r="F13" s="15"/>
      <c r="G13" s="15"/>
    </row>
  </sheetData>
  <mergeCells count="5">
    <mergeCell ref="A9:G9"/>
    <mergeCell ref="A10:G10"/>
    <mergeCell ref="A11:G11"/>
    <mergeCell ref="A12:G12"/>
    <mergeCell ref="A13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4BFB-96E6-42A8-B360-734DB9F84E76}">
  <dimension ref="A1:L13"/>
  <sheetViews>
    <sheetView workbookViewId="0">
      <selection sqref="A1:H13"/>
    </sheetView>
  </sheetViews>
  <sheetFormatPr baseColWidth="10" defaultRowHeight="14.4" x14ac:dyDescent="0.3"/>
  <cols>
    <col min="4" max="4" width="14.77734375" customWidth="1"/>
    <col min="5" max="5" width="23.77734375" customWidth="1"/>
  </cols>
  <sheetData>
    <row r="1" spans="1:12" x14ac:dyDescent="0.3">
      <c r="A1" s="4" t="s">
        <v>22</v>
      </c>
      <c r="B1" s="4" t="s">
        <v>39</v>
      </c>
      <c r="C1" s="4" t="s">
        <v>40</v>
      </c>
      <c r="D1" s="4" t="s">
        <v>24</v>
      </c>
      <c r="E1" s="4" t="s">
        <v>44</v>
      </c>
      <c r="F1" s="4" t="s">
        <v>33</v>
      </c>
    </row>
    <row r="2" spans="1:12" x14ac:dyDescent="0.3">
      <c r="A2" t="s">
        <v>25</v>
      </c>
      <c r="B2">
        <v>7</v>
      </c>
      <c r="C2">
        <v>5</v>
      </c>
      <c r="D2" t="str">
        <f>IF(AVERAGE(B2,C2)&gt;=5,"APROBADO","SUSPENSO")</f>
        <v>APROBADO</v>
      </c>
      <c r="E2" t="str">
        <f>IF(AND(B2&gt;=5,C2&gt;=5),"APROBADO","SUSPENSO")</f>
        <v>APROBADO</v>
      </c>
      <c r="F2" t="str">
        <f>IF(D2="APROBADO",G$2,G$3)</f>
        <v>BECADO</v>
      </c>
      <c r="G2" s="6" t="s">
        <v>38</v>
      </c>
    </row>
    <row r="3" spans="1:12" x14ac:dyDescent="0.3">
      <c r="A3" t="s">
        <v>26</v>
      </c>
      <c r="B3">
        <v>3</v>
      </c>
      <c r="C3">
        <v>6</v>
      </c>
      <c r="D3" t="str">
        <f t="shared" ref="D3:D6" si="0">IF(AVERAGE(B3,C3)&gt;=5,"APROBADO","SUSPENSO")</f>
        <v>SUSPENSO</v>
      </c>
      <c r="E3" t="str">
        <f t="shared" ref="E3:E6" si="1">IF(AND(B3&gt;=5,C3&gt;=5),"APROBADO","SUSPENSO")</f>
        <v>SUSPENSO</v>
      </c>
      <c r="F3" t="str">
        <f>IF(D3="APROBADO",G$2,G$3)</f>
        <v>SIN BECA</v>
      </c>
      <c r="G3" s="7" t="s">
        <v>35</v>
      </c>
    </row>
    <row r="4" spans="1:12" x14ac:dyDescent="0.3">
      <c r="A4" t="s">
        <v>27</v>
      </c>
      <c r="B4">
        <v>7</v>
      </c>
      <c r="C4">
        <v>4</v>
      </c>
      <c r="D4" t="str">
        <f t="shared" si="0"/>
        <v>APROBADO</v>
      </c>
      <c r="E4" t="str">
        <f t="shared" si="1"/>
        <v>SUSPENSO</v>
      </c>
      <c r="F4" t="str">
        <f>IF(D4="APROBADO",G$2,G$3)</f>
        <v>BECADO</v>
      </c>
      <c r="G4" s="5" t="s">
        <v>36</v>
      </c>
    </row>
    <row r="5" spans="1:12" x14ac:dyDescent="0.3">
      <c r="A5" t="s">
        <v>28</v>
      </c>
      <c r="B5">
        <v>1</v>
      </c>
      <c r="C5">
        <v>4</v>
      </c>
      <c r="D5" t="str">
        <f t="shared" si="0"/>
        <v>SUSPENSO</v>
      </c>
      <c r="E5" t="str">
        <f t="shared" si="1"/>
        <v>SUSPENSO</v>
      </c>
      <c r="F5" t="str">
        <f>IF(D5="APROBADO",G$2,G$3)</f>
        <v>SIN BECA</v>
      </c>
    </row>
    <row r="6" spans="1:12" x14ac:dyDescent="0.3">
      <c r="A6" t="s">
        <v>29</v>
      </c>
      <c r="B6">
        <v>10</v>
      </c>
      <c r="C6">
        <v>8</v>
      </c>
      <c r="D6" t="str">
        <f t="shared" si="0"/>
        <v>APROBADO</v>
      </c>
      <c r="E6" t="str">
        <f t="shared" si="1"/>
        <v>APROBADO</v>
      </c>
      <c r="F6" t="str">
        <f>IF(D6="APROBADO",G$2,G$3)</f>
        <v>BECADO</v>
      </c>
      <c r="L6" s="8"/>
    </row>
    <row r="9" spans="1:12" x14ac:dyDescent="0.3">
      <c r="A9" s="15" t="s">
        <v>41</v>
      </c>
      <c r="B9" s="15"/>
      <c r="C9" s="15"/>
      <c r="D9" s="15"/>
      <c r="E9" s="15"/>
      <c r="F9" s="15"/>
      <c r="G9" s="15"/>
      <c r="H9" s="15"/>
    </row>
    <row r="10" spans="1:12" x14ac:dyDescent="0.3">
      <c r="A10" s="15" t="s">
        <v>42</v>
      </c>
      <c r="B10" s="15"/>
      <c r="C10" s="15"/>
      <c r="D10" s="15"/>
      <c r="E10" s="15"/>
      <c r="F10" s="15"/>
      <c r="G10" s="15"/>
      <c r="H10" s="15"/>
    </row>
    <row r="11" spans="1:12" x14ac:dyDescent="0.3">
      <c r="A11" s="15" t="s">
        <v>43</v>
      </c>
      <c r="B11" s="15"/>
      <c r="C11" s="15"/>
      <c r="D11" s="15"/>
      <c r="E11" s="15"/>
      <c r="F11" s="15"/>
      <c r="G11" s="15"/>
      <c r="H11" s="15"/>
    </row>
    <row r="12" spans="1:12" x14ac:dyDescent="0.3">
      <c r="A12" s="15"/>
      <c r="B12" s="15"/>
      <c r="C12" s="15"/>
      <c r="D12" s="15"/>
      <c r="E12" s="15"/>
      <c r="F12" s="15"/>
      <c r="G12" s="15"/>
      <c r="H12" s="15"/>
    </row>
    <row r="13" spans="1:12" x14ac:dyDescent="0.3">
      <c r="A13" s="15"/>
      <c r="B13" s="15"/>
      <c r="C13" s="15"/>
      <c r="D13" s="15"/>
      <c r="E13" s="15"/>
      <c r="F13" s="15"/>
      <c r="G13" s="15"/>
      <c r="H13" s="15"/>
    </row>
  </sheetData>
  <mergeCells count="5">
    <mergeCell ref="A9:H9"/>
    <mergeCell ref="A10:H10"/>
    <mergeCell ref="A11:H11"/>
    <mergeCell ref="A12:H12"/>
    <mergeCell ref="A13:H1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5794-0EDA-4318-A964-C4C687E3FA71}">
  <dimension ref="A1:H38"/>
  <sheetViews>
    <sheetView topLeftCell="A24" zoomScale="85" zoomScaleNormal="85" workbookViewId="0">
      <selection activeCell="C36" sqref="C36"/>
    </sheetView>
  </sheetViews>
  <sheetFormatPr baseColWidth="10" defaultRowHeight="14.4" x14ac:dyDescent="0.3"/>
  <cols>
    <col min="5" max="5" width="14.21875" customWidth="1"/>
    <col min="6" max="6" width="18.77734375" customWidth="1"/>
    <col min="8" max="8" width="16.6640625" customWidth="1"/>
  </cols>
  <sheetData>
    <row r="1" spans="1:8" x14ac:dyDescent="0.3">
      <c r="A1" s="4" t="s">
        <v>22</v>
      </c>
      <c r="B1" s="4" t="s">
        <v>39</v>
      </c>
      <c r="C1" s="4" t="s">
        <v>40</v>
      </c>
      <c r="D1" s="4" t="s">
        <v>24</v>
      </c>
      <c r="E1" s="4" t="s">
        <v>44</v>
      </c>
      <c r="F1" s="4" t="s">
        <v>33</v>
      </c>
    </row>
    <row r="2" spans="1:8" x14ac:dyDescent="0.3">
      <c r="A2" t="s">
        <v>25</v>
      </c>
      <c r="B2">
        <v>7</v>
      </c>
      <c r="C2">
        <v>5</v>
      </c>
      <c r="D2" t="str">
        <f>IF(AVERAGE(B2,C2)&gt;=5,"APROBADO","SUSPENSO")</f>
        <v>APROBADO</v>
      </c>
      <c r="E2" t="str">
        <f>IF(OR(B2&gt;=5,C2&gt;=5),"APROBADO","SUSPENSO")</f>
        <v>APROBADO</v>
      </c>
      <c r="F2" t="str">
        <f>IF(D2="APROBADO",G$2,G$3)</f>
        <v>BECADO</v>
      </c>
      <c r="G2" s="6" t="s">
        <v>38</v>
      </c>
    </row>
    <row r="3" spans="1:8" x14ac:dyDescent="0.3">
      <c r="A3" t="s">
        <v>26</v>
      </c>
      <c r="B3">
        <v>3</v>
      </c>
      <c r="C3">
        <v>6</v>
      </c>
      <c r="D3" t="str">
        <f t="shared" ref="D3:D6" si="0">IF(AVERAGE(B3,C3)&gt;=5,"APROBADO","SUSPENSO")</f>
        <v>SUSPENSO</v>
      </c>
      <c r="E3" t="str">
        <f t="shared" ref="E3:E6" si="1">IF(OR(B3&gt;=5,C3&gt;=5),"APROBADO","SUSPENSO")</f>
        <v>APROBADO</v>
      </c>
      <c r="F3" t="str">
        <f>IF(D3="APROBADO",G$2,G$3)</f>
        <v>SIN BECA</v>
      </c>
      <c r="G3" s="7" t="s">
        <v>35</v>
      </c>
    </row>
    <row r="4" spans="1:8" x14ac:dyDescent="0.3">
      <c r="A4" t="s">
        <v>27</v>
      </c>
      <c r="B4">
        <v>7</v>
      </c>
      <c r="C4">
        <v>4</v>
      </c>
      <c r="D4" t="str">
        <f t="shared" si="0"/>
        <v>APROBADO</v>
      </c>
      <c r="E4" t="str">
        <f t="shared" si="1"/>
        <v>APROBADO</v>
      </c>
      <c r="F4" t="str">
        <f>IF(D4="APROBADO",G$2,G$3)</f>
        <v>BECADO</v>
      </c>
      <c r="G4" s="5" t="s">
        <v>36</v>
      </c>
    </row>
    <row r="5" spans="1:8" x14ac:dyDescent="0.3">
      <c r="A5" t="s">
        <v>28</v>
      </c>
      <c r="B5">
        <v>1</v>
      </c>
      <c r="C5">
        <v>4</v>
      </c>
      <c r="D5" t="str">
        <f t="shared" si="0"/>
        <v>SUSPENSO</v>
      </c>
      <c r="E5" t="str">
        <f t="shared" si="1"/>
        <v>SUSPENSO</v>
      </c>
      <c r="F5" t="str">
        <f>IF(D5="APROBADO",G$2,G$3)</f>
        <v>SIN BECA</v>
      </c>
    </row>
    <row r="6" spans="1:8" x14ac:dyDescent="0.3">
      <c r="A6" t="s">
        <v>29</v>
      </c>
      <c r="B6">
        <v>10</v>
      </c>
      <c r="C6">
        <v>8</v>
      </c>
      <c r="D6" t="str">
        <f t="shared" si="0"/>
        <v>APROBADO</v>
      </c>
      <c r="E6" t="str">
        <f t="shared" si="1"/>
        <v>APROBADO</v>
      </c>
      <c r="F6" t="str">
        <f>IF(D6="APROBADO",G$2,G$3)</f>
        <v>BECADO</v>
      </c>
    </row>
    <row r="10" spans="1:8" x14ac:dyDescent="0.3">
      <c r="A10" s="4" t="s">
        <v>22</v>
      </c>
      <c r="B10" s="4" t="s">
        <v>39</v>
      </c>
      <c r="C10" s="4" t="s">
        <v>40</v>
      </c>
      <c r="D10" s="4" t="s">
        <v>24</v>
      </c>
      <c r="E10" s="4" t="s">
        <v>44</v>
      </c>
      <c r="F10" s="4" t="s">
        <v>47</v>
      </c>
      <c r="G10" s="4" t="s">
        <v>33</v>
      </c>
      <c r="H10" s="4" t="s">
        <v>48</v>
      </c>
    </row>
    <row r="11" spans="1:8" x14ac:dyDescent="0.3">
      <c r="A11" t="s">
        <v>25</v>
      </c>
      <c r="B11">
        <v>7</v>
      </c>
      <c r="C11">
        <v>5</v>
      </c>
      <c r="D11" t="str">
        <f>IF(AVERAGE(B11,C11)&gt;=5,"APROBADO","SUSPENSO")</f>
        <v>APROBADO</v>
      </c>
      <c r="E11" t="str">
        <f>IF(OR(B11&gt;=5,C11&gt;=5),"APROBADO","SUSPENSO")</f>
        <v>APROBADO</v>
      </c>
      <c r="F11">
        <v>0</v>
      </c>
      <c r="G11" t="str">
        <f>IF(OR(B11&gt;=5,C11&gt;=5,F11&gt;=2),"BECADO","SIN BECA")</f>
        <v>BECADO</v>
      </c>
      <c r="H11" t="str">
        <f>IF(OR(AND(B11&gt;=5,C11&gt;=5),(F11&gt;=2)),"BECA","SIN BECA")</f>
        <v>BECA</v>
      </c>
    </row>
    <row r="12" spans="1:8" x14ac:dyDescent="0.3">
      <c r="A12" t="s">
        <v>26</v>
      </c>
      <c r="B12">
        <v>3</v>
      </c>
      <c r="C12">
        <v>6</v>
      </c>
      <c r="D12" t="str">
        <f t="shared" ref="D12:D15" si="2">IF(AVERAGE(B12,C12)&gt;=5,"APROBADO","SUSPENSO")</f>
        <v>SUSPENSO</v>
      </c>
      <c r="E12" t="str">
        <f t="shared" ref="E12:E15" si="3">IF(OR(B12&gt;=5,C12&gt;=5),"APROBADO","SUSPENSO")</f>
        <v>APROBADO</v>
      </c>
      <c r="F12">
        <v>1</v>
      </c>
      <c r="G12" t="str">
        <f t="shared" ref="G12:G17" si="4">IF(OR(B12&gt;=5,C12&gt;=5,F12&gt;=2),"BECADO","SIN BECA")</f>
        <v>BECADO</v>
      </c>
      <c r="H12" t="str">
        <f t="shared" ref="H12:H17" si="5">IF(OR(AND(B12&gt;=5,C12&gt;=5),(F12&gt;=2)),"BECA","SIN BECA")</f>
        <v>SIN BECA</v>
      </c>
    </row>
    <row r="13" spans="1:8" x14ac:dyDescent="0.3">
      <c r="A13" t="s">
        <v>27</v>
      </c>
      <c r="B13">
        <v>7</v>
      </c>
      <c r="C13">
        <v>4</v>
      </c>
      <c r="D13" t="str">
        <f t="shared" si="2"/>
        <v>APROBADO</v>
      </c>
      <c r="E13" t="str">
        <f t="shared" si="3"/>
        <v>APROBADO</v>
      </c>
      <c r="F13">
        <v>2</v>
      </c>
      <c r="G13" t="str">
        <f t="shared" si="4"/>
        <v>BECADO</v>
      </c>
      <c r="H13" t="str">
        <f t="shared" si="5"/>
        <v>BECA</v>
      </c>
    </row>
    <row r="14" spans="1:8" x14ac:dyDescent="0.3">
      <c r="A14" t="s">
        <v>28</v>
      </c>
      <c r="B14">
        <v>1</v>
      </c>
      <c r="C14">
        <v>4</v>
      </c>
      <c r="D14" t="str">
        <f t="shared" si="2"/>
        <v>SUSPENSO</v>
      </c>
      <c r="E14" t="str">
        <f t="shared" si="3"/>
        <v>SUSPENSO</v>
      </c>
      <c r="F14">
        <v>4</v>
      </c>
      <c r="G14" t="str">
        <f t="shared" si="4"/>
        <v>BECADO</v>
      </c>
      <c r="H14" t="str">
        <f t="shared" si="5"/>
        <v>BECA</v>
      </c>
    </row>
    <row r="15" spans="1:8" x14ac:dyDescent="0.3">
      <c r="A15" t="s">
        <v>29</v>
      </c>
      <c r="B15">
        <v>10</v>
      </c>
      <c r="C15">
        <v>8</v>
      </c>
      <c r="D15" t="str">
        <f t="shared" si="2"/>
        <v>APROBADO</v>
      </c>
      <c r="E15" t="str">
        <f t="shared" si="3"/>
        <v>APROBADO</v>
      </c>
      <c r="F15">
        <v>0</v>
      </c>
      <c r="G15" t="str">
        <f t="shared" si="4"/>
        <v>BECADO</v>
      </c>
      <c r="H15" t="str">
        <f t="shared" si="5"/>
        <v>BECA</v>
      </c>
    </row>
    <row r="16" spans="1:8" x14ac:dyDescent="0.3">
      <c r="A16" t="s">
        <v>50</v>
      </c>
      <c r="B16">
        <v>1</v>
      </c>
      <c r="C16">
        <v>4</v>
      </c>
      <c r="D16" t="str">
        <f t="shared" ref="D16:D17" si="6">IF(AVERAGE(B16,C16)&gt;=5,"APROBADO","SUSPENSO")</f>
        <v>SUSPENSO</v>
      </c>
      <c r="E16" t="str">
        <f t="shared" ref="E16:E17" si="7">IF(OR(B16&gt;=5,C16&gt;=5),"APROBADO","SUSPENSO")</f>
        <v>SUSPENSO</v>
      </c>
      <c r="F16">
        <v>0</v>
      </c>
      <c r="G16" t="str">
        <f t="shared" si="4"/>
        <v>SIN BECA</v>
      </c>
      <c r="H16" t="str">
        <f t="shared" si="5"/>
        <v>SIN BECA</v>
      </c>
    </row>
    <row r="17" spans="1:8" x14ac:dyDescent="0.3">
      <c r="A17" t="s">
        <v>51</v>
      </c>
      <c r="B17">
        <v>3</v>
      </c>
      <c r="C17">
        <v>5</v>
      </c>
      <c r="D17" t="str">
        <f t="shared" si="6"/>
        <v>SUSPENSO</v>
      </c>
      <c r="E17" t="str">
        <f t="shared" si="7"/>
        <v>APROBADO</v>
      </c>
      <c r="F17">
        <v>1</v>
      </c>
      <c r="G17" t="str">
        <f t="shared" si="4"/>
        <v>BECADO</v>
      </c>
      <c r="H17" t="str">
        <f t="shared" si="5"/>
        <v>SIN BECA</v>
      </c>
    </row>
    <row r="20" spans="1:8" x14ac:dyDescent="0.3">
      <c r="A20" s="15" t="s">
        <v>45</v>
      </c>
      <c r="B20" s="15"/>
      <c r="C20" s="15"/>
      <c r="D20" s="15"/>
      <c r="E20" s="15"/>
      <c r="F20" s="15"/>
      <c r="G20" s="15"/>
      <c r="H20" s="15"/>
    </row>
    <row r="21" spans="1:8" x14ac:dyDescent="0.3">
      <c r="A21" s="15" t="s">
        <v>46</v>
      </c>
      <c r="B21" s="15"/>
      <c r="C21" s="15"/>
      <c r="D21" s="15"/>
      <c r="E21" s="15"/>
      <c r="F21" s="15"/>
      <c r="G21" s="15"/>
      <c r="H21" s="15"/>
    </row>
    <row r="22" spans="1:8" x14ac:dyDescent="0.3">
      <c r="A22" s="15" t="s">
        <v>52</v>
      </c>
      <c r="B22" s="15"/>
      <c r="C22" s="15"/>
      <c r="D22" s="15"/>
      <c r="E22" s="15"/>
      <c r="F22" s="15"/>
      <c r="G22" s="15"/>
      <c r="H22" s="15"/>
    </row>
    <row r="23" spans="1:8" x14ac:dyDescent="0.3">
      <c r="A23" s="15" t="s">
        <v>49</v>
      </c>
      <c r="B23" s="15"/>
      <c r="C23" s="15"/>
      <c r="D23" s="15"/>
      <c r="E23" s="15"/>
      <c r="F23" s="15"/>
      <c r="G23" s="15"/>
      <c r="H23" s="15"/>
    </row>
    <row r="24" spans="1:8" x14ac:dyDescent="0.3">
      <c r="A24" s="15" t="s">
        <v>54</v>
      </c>
      <c r="B24" s="15"/>
      <c r="C24" s="15"/>
      <c r="D24" s="15"/>
      <c r="E24" s="15"/>
      <c r="F24" s="15"/>
      <c r="G24" s="15"/>
      <c r="H24" s="15"/>
    </row>
    <row r="27" spans="1:8" x14ac:dyDescent="0.3">
      <c r="A27" s="4" t="s">
        <v>22</v>
      </c>
      <c r="B27" s="4" t="s">
        <v>39</v>
      </c>
      <c r="C27" s="4" t="s">
        <v>40</v>
      </c>
      <c r="D27" s="4" t="s">
        <v>53</v>
      </c>
      <c r="E27" s="4" t="s">
        <v>44</v>
      </c>
      <c r="F27" s="4" t="s">
        <v>33</v>
      </c>
    </row>
    <row r="28" spans="1:8" x14ac:dyDescent="0.3">
      <c r="A28" t="s">
        <v>25</v>
      </c>
      <c r="B28" s="9">
        <v>7</v>
      </c>
      <c r="C28" s="9">
        <v>5</v>
      </c>
      <c r="D28" s="9">
        <f>AVERAGE(B28,C28)</f>
        <v>6</v>
      </c>
      <c r="E28" t="str">
        <f>IF(D28&lt;5,"INSUFICIENTE",IF(D28&lt;6,"SUFICIENTE",IF(D28&lt;7,"BIEN",IF(D28&lt;9,"NOTABLE",IF(D28&lt;10,"SOBRESALIENTE",IF(D28=10,"MATRICULA"))))))</f>
        <v>BIEN</v>
      </c>
    </row>
    <row r="29" spans="1:8" x14ac:dyDescent="0.3">
      <c r="A29" t="s">
        <v>26</v>
      </c>
      <c r="B29" s="9">
        <v>3</v>
      </c>
      <c r="C29" s="9">
        <v>6</v>
      </c>
      <c r="D29" s="9">
        <f t="shared" ref="D29:D34" si="8">AVERAGE(B29,C29)</f>
        <v>4.5</v>
      </c>
      <c r="E29" t="str">
        <f t="shared" ref="E29:E35" si="9">IF(D29&lt;5,"INSUFICIENTE",IF(D29&lt;6,"SUFICIENTE",IF(D29&lt;7,"BIEN",IF(D29&lt;9,"NOTABLE",IF(D29&lt;10,"SOBRESALIENTE",IF(D29=10,"MATRICULA"))))))</f>
        <v>INSUFICIENTE</v>
      </c>
    </row>
    <row r="30" spans="1:8" x14ac:dyDescent="0.3">
      <c r="A30" t="s">
        <v>27</v>
      </c>
      <c r="B30" s="9">
        <v>7</v>
      </c>
      <c r="C30" s="9">
        <v>4</v>
      </c>
      <c r="D30" s="9">
        <f t="shared" si="8"/>
        <v>5.5</v>
      </c>
      <c r="E30" t="str">
        <f t="shared" si="9"/>
        <v>SUFICIENTE</v>
      </c>
    </row>
    <row r="31" spans="1:8" x14ac:dyDescent="0.3">
      <c r="A31" t="s">
        <v>28</v>
      </c>
      <c r="B31" s="9">
        <v>1</v>
      </c>
      <c r="C31" s="9">
        <v>4</v>
      </c>
      <c r="D31" s="9">
        <f t="shared" si="8"/>
        <v>2.5</v>
      </c>
      <c r="E31" t="str">
        <f t="shared" si="9"/>
        <v>INSUFICIENTE</v>
      </c>
    </row>
    <row r="32" spans="1:8" x14ac:dyDescent="0.3">
      <c r="A32" t="s">
        <v>29</v>
      </c>
      <c r="B32" s="9">
        <v>10</v>
      </c>
      <c r="C32" s="9">
        <v>8</v>
      </c>
      <c r="D32" s="9">
        <f t="shared" si="8"/>
        <v>9</v>
      </c>
      <c r="E32" t="str">
        <f t="shared" si="9"/>
        <v>SOBRESALIENTE</v>
      </c>
    </row>
    <row r="33" spans="1:8" x14ac:dyDescent="0.3">
      <c r="A33" t="s">
        <v>50</v>
      </c>
      <c r="B33" s="9">
        <v>1</v>
      </c>
      <c r="C33" s="9">
        <v>4</v>
      </c>
      <c r="D33" s="9">
        <f t="shared" si="8"/>
        <v>2.5</v>
      </c>
      <c r="E33" t="str">
        <f t="shared" si="9"/>
        <v>INSUFICIENTE</v>
      </c>
    </row>
    <row r="34" spans="1:8" x14ac:dyDescent="0.3">
      <c r="A34" t="s">
        <v>51</v>
      </c>
      <c r="B34" s="9">
        <v>10</v>
      </c>
      <c r="C34" s="9">
        <v>10</v>
      </c>
      <c r="D34" s="9">
        <f t="shared" si="8"/>
        <v>10</v>
      </c>
      <c r="E34" t="str">
        <f t="shared" si="9"/>
        <v>MATRICULA</v>
      </c>
    </row>
    <row r="35" spans="1:8" x14ac:dyDescent="0.3">
      <c r="A35" t="s">
        <v>51</v>
      </c>
      <c r="B35" s="9">
        <v>6</v>
      </c>
      <c r="C35" s="9">
        <v>7</v>
      </c>
      <c r="D35" s="9">
        <f t="shared" ref="D35" si="10">AVERAGE(B35,C35)</f>
        <v>6.5</v>
      </c>
      <c r="E35" t="str">
        <f t="shared" si="9"/>
        <v>BIEN</v>
      </c>
    </row>
    <row r="37" spans="1:8" x14ac:dyDescent="0.3">
      <c r="A37" s="15" t="s">
        <v>55</v>
      </c>
      <c r="B37" s="15"/>
      <c r="C37" s="15"/>
      <c r="D37" s="15"/>
      <c r="E37" s="15"/>
      <c r="F37" s="15"/>
      <c r="G37" s="15"/>
      <c r="H37" s="15"/>
    </row>
    <row r="38" spans="1:8" x14ac:dyDescent="0.3">
      <c r="A38" s="15" t="s">
        <v>54</v>
      </c>
      <c r="B38" s="15"/>
      <c r="C38" s="15"/>
      <c r="D38" s="15"/>
      <c r="E38" s="15"/>
      <c r="F38" s="15"/>
      <c r="G38" s="15"/>
      <c r="H38" s="15"/>
    </row>
  </sheetData>
  <mergeCells count="7">
    <mergeCell ref="A38:H38"/>
    <mergeCell ref="A37:H37"/>
    <mergeCell ref="A20:H20"/>
    <mergeCell ref="A21:H21"/>
    <mergeCell ref="A22:H22"/>
    <mergeCell ref="A23:H23"/>
    <mergeCell ref="A24:H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64DD-A35B-40DF-B182-531C157E06E4}">
  <dimension ref="A1:L27"/>
  <sheetViews>
    <sheetView workbookViewId="0">
      <selection activeCell="A10" sqref="A10:G12"/>
    </sheetView>
  </sheetViews>
  <sheetFormatPr baseColWidth="10" defaultRowHeight="14.4" x14ac:dyDescent="0.3"/>
  <cols>
    <col min="2" max="2" width="15.88671875" customWidth="1"/>
    <col min="7" max="7" width="15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56</v>
      </c>
      <c r="H1" s="1"/>
      <c r="I1" s="11">
        <v>0.21</v>
      </c>
    </row>
    <row r="2" spans="1:12" x14ac:dyDescent="0.3">
      <c r="A2" t="s">
        <v>9</v>
      </c>
      <c r="B2" t="s">
        <v>10</v>
      </c>
      <c r="C2" s="2">
        <v>36552</v>
      </c>
      <c r="D2" t="s">
        <v>11</v>
      </c>
      <c r="E2" s="3">
        <v>140.35</v>
      </c>
      <c r="G2" s="3">
        <f>E2+(E2*I$1)</f>
        <v>169.8235</v>
      </c>
    </row>
    <row r="3" spans="1:12" x14ac:dyDescent="0.3">
      <c r="A3" t="s">
        <v>14</v>
      </c>
      <c r="B3" t="s">
        <v>15</v>
      </c>
      <c r="C3" s="2">
        <v>39841</v>
      </c>
      <c r="D3" t="s">
        <v>12</v>
      </c>
      <c r="E3" s="3">
        <v>192.45</v>
      </c>
      <c r="G3" s="3">
        <f t="shared" ref="G3:G5" si="0">E3+(E3*I$1)</f>
        <v>232.86449999999999</v>
      </c>
    </row>
    <row r="4" spans="1:12" x14ac:dyDescent="0.3">
      <c r="A4" t="s">
        <v>16</v>
      </c>
      <c r="B4" t="s">
        <v>17</v>
      </c>
      <c r="C4" s="2">
        <v>40937</v>
      </c>
      <c r="D4" t="s">
        <v>13</v>
      </c>
      <c r="E4" s="3">
        <v>88.2</v>
      </c>
      <c r="G4" s="3">
        <f t="shared" si="0"/>
        <v>106.72200000000001</v>
      </c>
    </row>
    <row r="5" spans="1:12" x14ac:dyDescent="0.3">
      <c r="A5" t="s">
        <v>58</v>
      </c>
      <c r="B5" t="s">
        <v>59</v>
      </c>
      <c r="C5" s="2">
        <v>40937</v>
      </c>
      <c r="D5" t="s">
        <v>12</v>
      </c>
      <c r="E5" s="3" t="s">
        <v>60</v>
      </c>
      <c r="G5" s="3" t="e">
        <f t="shared" si="0"/>
        <v>#VALUE!</v>
      </c>
    </row>
    <row r="7" spans="1:12" x14ac:dyDescent="0.3">
      <c r="G7" s="12">
        <f>_xlfn.AGGREGATE(9,6,G2:G5)</f>
        <v>509.40999999999997</v>
      </c>
    </row>
    <row r="10" spans="1:12" x14ac:dyDescent="0.3">
      <c r="A10" s="15" t="s">
        <v>57</v>
      </c>
      <c r="B10" s="15"/>
      <c r="C10" s="15"/>
      <c r="D10" s="15"/>
      <c r="E10" s="15"/>
      <c r="F10" s="15"/>
      <c r="G10" s="15"/>
    </row>
    <row r="11" spans="1:12" x14ac:dyDescent="0.3">
      <c r="A11" s="15" t="s">
        <v>61</v>
      </c>
      <c r="B11" s="15"/>
      <c r="C11" s="15"/>
      <c r="D11" s="15"/>
      <c r="E11" s="15"/>
      <c r="F11" s="15"/>
      <c r="G11" s="15"/>
    </row>
    <row r="12" spans="1:12" x14ac:dyDescent="0.3">
      <c r="A12" s="15" t="s">
        <v>62</v>
      </c>
      <c r="B12" s="15"/>
      <c r="C12" s="15"/>
      <c r="D12" s="15"/>
      <c r="E12" s="15"/>
      <c r="F12" s="15"/>
      <c r="G12" s="15"/>
    </row>
    <row r="13" spans="1:12" x14ac:dyDescent="0.3">
      <c r="A13" s="15"/>
      <c r="B13" s="15"/>
      <c r="C13" s="15"/>
      <c r="D13" s="15"/>
      <c r="E13" s="15"/>
      <c r="F13" s="15"/>
      <c r="G13" s="15"/>
    </row>
    <row r="14" spans="1:12" x14ac:dyDescent="0.3">
      <c r="A14" s="15"/>
      <c r="B14" s="15"/>
      <c r="C14" s="15"/>
      <c r="D14" s="15"/>
      <c r="E14" s="15"/>
      <c r="F14" s="15"/>
      <c r="G14" s="15"/>
    </row>
    <row r="16" spans="1:12" x14ac:dyDescent="0.3">
      <c r="A16" s="17" t="s">
        <v>63</v>
      </c>
      <c r="B16" s="17"/>
      <c r="C16" s="17"/>
      <c r="D16" s="17"/>
      <c r="E16" s="17"/>
      <c r="F16" s="18" t="s">
        <v>76</v>
      </c>
      <c r="G16" s="18"/>
      <c r="H16" s="18"/>
      <c r="I16" s="18"/>
      <c r="J16" s="18"/>
      <c r="K16" s="18"/>
      <c r="L16" s="18"/>
    </row>
    <row r="17" spans="1:12" x14ac:dyDescent="0.3">
      <c r="F17" s="16" t="s">
        <v>80</v>
      </c>
      <c r="G17" s="15"/>
      <c r="H17" s="15"/>
      <c r="I17" s="15"/>
      <c r="J17" s="15"/>
      <c r="K17" s="15"/>
      <c r="L17" s="15"/>
    </row>
    <row r="18" spans="1:12" x14ac:dyDescent="0.3">
      <c r="A18" s="14" t="s">
        <v>64</v>
      </c>
      <c r="B18" s="14"/>
      <c r="C18" s="14"/>
      <c r="D18" s="14"/>
      <c r="E18" s="13">
        <v>0.1</v>
      </c>
      <c r="F18" s="15" t="s">
        <v>79</v>
      </c>
      <c r="G18" s="15"/>
      <c r="H18" s="15"/>
      <c r="I18" s="15"/>
      <c r="J18" s="15"/>
      <c r="K18" s="15"/>
      <c r="L18" s="15"/>
    </row>
    <row r="19" spans="1:12" x14ac:dyDescent="0.3">
      <c r="A19" s="14" t="s">
        <v>74</v>
      </c>
      <c r="B19" s="14"/>
      <c r="C19" s="14"/>
      <c r="D19" s="14"/>
      <c r="E19" s="13">
        <v>0.05</v>
      </c>
      <c r="F19" s="15" t="s">
        <v>79</v>
      </c>
      <c r="G19" s="15"/>
      <c r="H19" s="15"/>
      <c r="I19" s="15"/>
      <c r="J19" s="15"/>
      <c r="K19" s="15"/>
      <c r="L19" s="15"/>
    </row>
    <row r="20" spans="1:12" x14ac:dyDescent="0.3">
      <c r="A20" s="14" t="s">
        <v>75</v>
      </c>
      <c r="B20" s="14"/>
      <c r="C20" s="14"/>
      <c r="D20" s="14"/>
      <c r="E20" s="13">
        <v>0.02</v>
      </c>
      <c r="F20" s="15"/>
      <c r="G20" s="15"/>
      <c r="H20" s="15"/>
      <c r="I20" s="15"/>
      <c r="J20" s="15"/>
      <c r="K20" s="15"/>
      <c r="L20" s="15"/>
    </row>
    <row r="22" spans="1:12" x14ac:dyDescent="0.3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</row>
    <row r="23" spans="1:12" x14ac:dyDescent="0.3">
      <c r="A23" t="s">
        <v>71</v>
      </c>
      <c r="B23" s="2">
        <v>36172</v>
      </c>
      <c r="C23" s="2">
        <v>36178</v>
      </c>
      <c r="D23">
        <f>C23-B23</f>
        <v>6</v>
      </c>
      <c r="E23" s="3">
        <v>3000.23</v>
      </c>
      <c r="F23">
        <f>IF(D23&lt;10,E23-(E23*10%),IF(D23&lt;15,E23-(E23*5%),E23-(E23*2%)))</f>
        <v>2700.2069999999999</v>
      </c>
    </row>
    <row r="24" spans="1:12" x14ac:dyDescent="0.3">
      <c r="A24" t="s">
        <v>72</v>
      </c>
      <c r="B24" s="2">
        <v>38454</v>
      </c>
      <c r="C24" s="2">
        <v>38467</v>
      </c>
      <c r="D24">
        <f t="shared" ref="D24:D25" si="1">C24-B24</f>
        <v>13</v>
      </c>
      <c r="E24">
        <v>2999.89</v>
      </c>
      <c r="F24">
        <f t="shared" ref="F24:F25" si="2">IF(D24&lt;10,E24-(E24*10%),IF(D24&lt;15,E24-(E24*5%),E24-(E24*2%)))</f>
        <v>2849.8955000000001</v>
      </c>
    </row>
    <row r="25" spans="1:12" x14ac:dyDescent="0.3">
      <c r="A25" t="s">
        <v>73</v>
      </c>
      <c r="B25" s="2">
        <v>43262</v>
      </c>
      <c r="C25" s="2">
        <v>43292</v>
      </c>
      <c r="D25">
        <f t="shared" si="1"/>
        <v>30</v>
      </c>
      <c r="E25">
        <v>235.77</v>
      </c>
      <c r="F25">
        <f t="shared" si="2"/>
        <v>231.05460000000002</v>
      </c>
    </row>
    <row r="26" spans="1:12" x14ac:dyDescent="0.3">
      <c r="A26" t="s">
        <v>77</v>
      </c>
      <c r="B26" s="2">
        <v>43262</v>
      </c>
      <c r="C26" s="2">
        <v>43285</v>
      </c>
      <c r="D26">
        <f t="shared" ref="D26" si="3">C26-B26</f>
        <v>23</v>
      </c>
      <c r="E26" t="s">
        <v>78</v>
      </c>
      <c r="F26" t="str">
        <f>IFERROR(IF(D26&lt;10,E26-(E26*10%),IF(D26&lt;15,E26-(E26*5%),E26-(E26*2%)))," ")</f>
        <v xml:space="preserve"> </v>
      </c>
    </row>
    <row r="27" spans="1:12" x14ac:dyDescent="0.3">
      <c r="A27" t="s">
        <v>77</v>
      </c>
      <c r="B27" s="2">
        <v>43262</v>
      </c>
      <c r="C27" s="2">
        <v>43285</v>
      </c>
      <c r="D27">
        <f t="shared" ref="D27" si="4">C27-B27</f>
        <v>23</v>
      </c>
      <c r="E27" t="s">
        <v>78</v>
      </c>
      <c r="F27" t="str">
        <f>IFERROR(IF(D27&lt;10,E27-(E27*10%),IF(D27&lt;15,E27-(E27*5%),E27-(E27*2%))),"NADA")</f>
        <v>NADA</v>
      </c>
    </row>
  </sheetData>
  <mergeCells count="11">
    <mergeCell ref="A10:G10"/>
    <mergeCell ref="A11:G11"/>
    <mergeCell ref="A12:G12"/>
    <mergeCell ref="A13:G13"/>
    <mergeCell ref="A14:G14"/>
    <mergeCell ref="F17:L17"/>
    <mergeCell ref="F18:L18"/>
    <mergeCell ref="F19:L19"/>
    <mergeCell ref="F20:L20"/>
    <mergeCell ref="A16:E16"/>
    <mergeCell ref="F16:L1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1607-DDCB-4E7F-8F87-A989885BC40E}">
  <dimension ref="A1:H47"/>
  <sheetViews>
    <sheetView tabSelected="1" workbookViewId="0">
      <selection activeCell="J37" sqref="J37"/>
    </sheetView>
  </sheetViews>
  <sheetFormatPr baseColWidth="10" defaultRowHeight="14.4" x14ac:dyDescent="0.3"/>
  <cols>
    <col min="2" max="2" width="15.5546875" customWidth="1"/>
    <col min="8" max="8" width="32" customWidth="1"/>
    <col min="9" max="9" width="14.109375" customWidth="1"/>
    <col min="10" max="10" width="13.77734375" customWidth="1"/>
  </cols>
  <sheetData>
    <row r="1" spans="1:8" x14ac:dyDescent="0.3">
      <c r="A1" s="19" t="s">
        <v>81</v>
      </c>
      <c r="B1" s="19" t="s">
        <v>82</v>
      </c>
      <c r="C1" s="19" t="s">
        <v>83</v>
      </c>
      <c r="D1" s="19" t="s">
        <v>84</v>
      </c>
      <c r="E1" s="19" t="s">
        <v>24</v>
      </c>
      <c r="G1" s="20" t="s">
        <v>81</v>
      </c>
      <c r="H1" s="22">
        <v>100</v>
      </c>
    </row>
    <row r="2" spans="1:8" x14ac:dyDescent="0.3">
      <c r="A2">
        <v>100</v>
      </c>
      <c r="B2" t="s">
        <v>25</v>
      </c>
      <c r="C2" t="s">
        <v>86</v>
      </c>
      <c r="D2" s="9" t="s">
        <v>93</v>
      </c>
      <c r="E2" s="9">
        <v>7</v>
      </c>
      <c r="G2" s="20" t="s">
        <v>82</v>
      </c>
      <c r="H2" s="21" t="str">
        <f>VLOOKUP(H1,A2:E5,2,0)</f>
        <v>Antonio</v>
      </c>
    </row>
    <row r="3" spans="1:8" x14ac:dyDescent="0.3">
      <c r="A3">
        <v>12</v>
      </c>
      <c r="B3" t="s">
        <v>26</v>
      </c>
      <c r="C3" t="s">
        <v>87</v>
      </c>
      <c r="D3" s="9" t="s">
        <v>94</v>
      </c>
      <c r="E3" s="9">
        <v>3</v>
      </c>
      <c r="G3" s="20" t="s">
        <v>83</v>
      </c>
      <c r="H3" s="21" t="str">
        <f>VLOOKUP(H1,A2:E5,3,0)</f>
        <v>GranVia</v>
      </c>
    </row>
    <row r="4" spans="1:8" x14ac:dyDescent="0.3">
      <c r="A4">
        <v>99</v>
      </c>
      <c r="B4" t="s">
        <v>88</v>
      </c>
      <c r="C4" t="s">
        <v>89</v>
      </c>
      <c r="D4" s="9" t="s">
        <v>95</v>
      </c>
      <c r="E4" s="9">
        <v>10</v>
      </c>
      <c r="G4" s="20" t="s">
        <v>84</v>
      </c>
      <c r="H4" s="21" t="str">
        <f>VLOOKUP(H1,A2:E5,4,0)</f>
        <v>2º</v>
      </c>
    </row>
    <row r="5" spans="1:8" x14ac:dyDescent="0.3">
      <c r="A5">
        <v>14</v>
      </c>
      <c r="B5" t="s">
        <v>90</v>
      </c>
      <c r="C5" t="s">
        <v>91</v>
      </c>
      <c r="D5" s="9" t="s">
        <v>96</v>
      </c>
      <c r="E5" s="9">
        <v>8</v>
      </c>
      <c r="G5" s="20" t="s">
        <v>24</v>
      </c>
      <c r="H5" s="21">
        <f>VLOOKUP(H1,A2:E5,5,0)</f>
        <v>7</v>
      </c>
    </row>
    <row r="7" spans="1:8" x14ac:dyDescent="0.3">
      <c r="A7" s="15" t="s">
        <v>85</v>
      </c>
      <c r="B7" s="15"/>
      <c r="C7" s="15"/>
      <c r="D7" s="15"/>
      <c r="E7" s="15"/>
      <c r="F7" s="15"/>
      <c r="G7" s="10"/>
    </row>
    <row r="8" spans="1:8" x14ac:dyDescent="0.3">
      <c r="A8" s="15" t="s">
        <v>92</v>
      </c>
      <c r="B8" s="15"/>
      <c r="C8" s="15"/>
      <c r="D8" s="15"/>
      <c r="E8" s="15"/>
      <c r="F8" s="15"/>
      <c r="G8" s="15"/>
    </row>
    <row r="9" spans="1:8" x14ac:dyDescent="0.3">
      <c r="A9" s="15" t="s">
        <v>97</v>
      </c>
      <c r="B9" s="15"/>
      <c r="C9" s="15"/>
      <c r="D9" s="15"/>
      <c r="E9" s="15"/>
      <c r="F9" s="15"/>
      <c r="G9" s="15"/>
    </row>
    <row r="10" spans="1:8" x14ac:dyDescent="0.3">
      <c r="A10" s="16" t="s">
        <v>98</v>
      </c>
      <c r="B10" s="15"/>
      <c r="C10" s="15"/>
      <c r="D10" s="15"/>
      <c r="E10" s="15"/>
      <c r="F10" s="15"/>
      <c r="G10" s="15"/>
    </row>
    <row r="13" spans="1:8" x14ac:dyDescent="0.3">
      <c r="A13" s="19" t="s">
        <v>99</v>
      </c>
      <c r="B13" s="19" t="s">
        <v>100</v>
      </c>
      <c r="C13" s="19" t="s">
        <v>101</v>
      </c>
      <c r="E13" s="23" t="s">
        <v>102</v>
      </c>
      <c r="F13" s="23" t="s">
        <v>101</v>
      </c>
    </row>
    <row r="14" spans="1:8" x14ac:dyDescent="0.3">
      <c r="A14" t="s">
        <v>25</v>
      </c>
      <c r="B14">
        <v>98</v>
      </c>
      <c r="C14" t="str">
        <f>VLOOKUP(B14,$E$14:$F$18,2,1)</f>
        <v>A</v>
      </c>
      <c r="E14" s="23">
        <v>0</v>
      </c>
      <c r="F14" s="23" t="s">
        <v>103</v>
      </c>
    </row>
    <row r="15" spans="1:8" x14ac:dyDescent="0.3">
      <c r="A15" t="s">
        <v>26</v>
      </c>
      <c r="B15">
        <v>88</v>
      </c>
      <c r="C15" t="str">
        <f t="shared" ref="C15:C17" si="0">VLOOKUP(B15,$E$14:$F$18,2,1)</f>
        <v>B</v>
      </c>
      <c r="E15" s="23">
        <v>65</v>
      </c>
      <c r="F15" s="23" t="s">
        <v>104</v>
      </c>
    </row>
    <row r="16" spans="1:8" x14ac:dyDescent="0.3">
      <c r="A16" t="s">
        <v>88</v>
      </c>
      <c r="B16">
        <v>75</v>
      </c>
      <c r="C16" t="str">
        <f t="shared" si="0"/>
        <v>C</v>
      </c>
      <c r="E16" s="23">
        <v>70</v>
      </c>
      <c r="F16" s="23" t="s">
        <v>105</v>
      </c>
    </row>
    <row r="17" spans="1:7" x14ac:dyDescent="0.3">
      <c r="A17" t="s">
        <v>90</v>
      </c>
      <c r="B17">
        <v>69</v>
      </c>
      <c r="C17" t="str">
        <f t="shared" si="0"/>
        <v>D</v>
      </c>
      <c r="E17" s="23">
        <v>85</v>
      </c>
      <c r="F17" s="23" t="s">
        <v>106</v>
      </c>
    </row>
    <row r="18" spans="1:7" x14ac:dyDescent="0.3">
      <c r="E18" s="23">
        <v>92</v>
      </c>
      <c r="F18" s="23" t="s">
        <v>107</v>
      </c>
    </row>
    <row r="20" spans="1:7" x14ac:dyDescent="0.3">
      <c r="A20" s="10" t="s">
        <v>108</v>
      </c>
      <c r="B20" s="10"/>
      <c r="C20" s="10"/>
      <c r="D20" s="10"/>
      <c r="E20" s="10"/>
      <c r="F20" s="10"/>
      <c r="G20" s="10"/>
    </row>
    <row r="21" spans="1:7" x14ac:dyDescent="0.3">
      <c r="A21" s="15" t="s">
        <v>109</v>
      </c>
      <c r="B21" s="15"/>
      <c r="C21" s="15"/>
      <c r="D21" s="15"/>
      <c r="E21" s="15"/>
      <c r="F21" s="15"/>
      <c r="G21" s="15"/>
    </row>
    <row r="22" spans="1:7" x14ac:dyDescent="0.3">
      <c r="A22" s="15" t="s">
        <v>110</v>
      </c>
      <c r="B22" s="15"/>
      <c r="C22" s="15"/>
      <c r="D22" s="15"/>
      <c r="E22" s="15"/>
      <c r="F22" s="15"/>
      <c r="G22" s="15"/>
    </row>
    <row r="24" spans="1:7" x14ac:dyDescent="0.3">
      <c r="A24" s="28" t="s">
        <v>111</v>
      </c>
      <c r="B24" s="28"/>
      <c r="C24" s="28"/>
      <c r="D24" s="28"/>
      <c r="E24" s="28"/>
      <c r="F24" s="25"/>
    </row>
    <row r="25" spans="1:7" x14ac:dyDescent="0.3">
      <c r="A25" s="19" t="s">
        <v>112</v>
      </c>
      <c r="B25" s="19" t="s">
        <v>113</v>
      </c>
      <c r="C25" s="19" t="s">
        <v>122</v>
      </c>
      <c r="D25" s="19" t="s">
        <v>114</v>
      </c>
      <c r="E25" s="19" t="s">
        <v>115</v>
      </c>
      <c r="F25" s="19" t="s">
        <v>116</v>
      </c>
    </row>
    <row r="26" spans="1:7" x14ac:dyDescent="0.3">
      <c r="A26" t="s">
        <v>117</v>
      </c>
      <c r="B26">
        <v>2</v>
      </c>
      <c r="C26">
        <v>582</v>
      </c>
      <c r="D26" s="3">
        <v>1028</v>
      </c>
      <c r="E26" s="3">
        <f>VLOOKUP(B26,E$35:F$37,2,0)*D26</f>
        <v>61.68</v>
      </c>
      <c r="F26" s="3">
        <f>SUM(E26,D26)</f>
        <v>1089.68</v>
      </c>
    </row>
    <row r="27" spans="1:7" x14ac:dyDescent="0.3">
      <c r="A27" t="s">
        <v>118</v>
      </c>
      <c r="B27">
        <v>2</v>
      </c>
      <c r="C27">
        <v>254</v>
      </c>
      <c r="D27" s="3">
        <v>2000</v>
      </c>
      <c r="E27" s="3">
        <f>VLOOKUP(B27,E$35:F$37,2,0)*D27</f>
        <v>120</v>
      </c>
      <c r="F27" s="3">
        <f t="shared" ref="F27:F30" si="1">SUM(E27,D27)</f>
        <v>2120</v>
      </c>
    </row>
    <row r="28" spans="1:7" x14ac:dyDescent="0.3">
      <c r="A28" t="s">
        <v>119</v>
      </c>
      <c r="B28">
        <v>3</v>
      </c>
      <c r="C28">
        <v>692</v>
      </c>
      <c r="D28" s="3">
        <v>3599</v>
      </c>
      <c r="E28" s="3">
        <f>VLOOKUP(B28,E$35:F$37,2,0)*D28</f>
        <v>251.93000000000004</v>
      </c>
      <c r="F28" s="3">
        <f t="shared" si="1"/>
        <v>3850.93</v>
      </c>
    </row>
    <row r="29" spans="1:7" x14ac:dyDescent="0.3">
      <c r="A29" t="s">
        <v>120</v>
      </c>
      <c r="B29">
        <v>1</v>
      </c>
      <c r="C29">
        <v>158</v>
      </c>
      <c r="D29" s="3">
        <v>178</v>
      </c>
      <c r="E29" s="3">
        <f>VLOOKUP(B29,E$35:F$37,2,0)*D29</f>
        <v>8.9</v>
      </c>
      <c r="F29" s="3">
        <f t="shared" si="1"/>
        <v>186.9</v>
      </c>
    </row>
    <row r="30" spans="1:7" x14ac:dyDescent="0.3">
      <c r="A30" t="s">
        <v>121</v>
      </c>
      <c r="B30">
        <v>2</v>
      </c>
      <c r="C30">
        <v>254</v>
      </c>
      <c r="D30" s="3">
        <v>1988</v>
      </c>
      <c r="E30" s="3">
        <f>VLOOKUP(B30,E$35:F$37,2,0)*D30</f>
        <v>119.28</v>
      </c>
      <c r="F30" s="3">
        <f t="shared" si="1"/>
        <v>2107.2800000000002</v>
      </c>
    </row>
    <row r="32" spans="1:7" x14ac:dyDescent="0.3">
      <c r="C32" t="s">
        <v>123</v>
      </c>
      <c r="E32" s="27">
        <v>6</v>
      </c>
    </row>
    <row r="34" spans="1:7" x14ac:dyDescent="0.3">
      <c r="C34" t="s">
        <v>124</v>
      </c>
      <c r="E34" s="26" t="s">
        <v>125</v>
      </c>
      <c r="F34" s="26" t="s">
        <v>126</v>
      </c>
    </row>
    <row r="35" spans="1:7" x14ac:dyDescent="0.3">
      <c r="E35" s="26">
        <v>1</v>
      </c>
      <c r="F35" s="13">
        <v>0.05</v>
      </c>
    </row>
    <row r="36" spans="1:7" x14ac:dyDescent="0.3">
      <c r="E36" s="26">
        <v>2</v>
      </c>
      <c r="F36" s="13">
        <v>0.06</v>
      </c>
    </row>
    <row r="37" spans="1:7" x14ac:dyDescent="0.3">
      <c r="E37" s="26">
        <v>3</v>
      </c>
      <c r="F37" s="13">
        <v>7.0000000000000007E-2</v>
      </c>
    </row>
    <row r="40" spans="1:7" x14ac:dyDescent="0.3">
      <c r="A40" s="24" t="s">
        <v>127</v>
      </c>
      <c r="B40" s="24"/>
      <c r="C40" s="29" t="s">
        <v>128</v>
      </c>
      <c r="D40" s="29"/>
      <c r="E40" s="28" t="s">
        <v>129</v>
      </c>
      <c r="F40" s="28"/>
    </row>
    <row r="41" spans="1:7" x14ac:dyDescent="0.3">
      <c r="A41" t="s">
        <v>130</v>
      </c>
      <c r="C41" t="s">
        <v>132</v>
      </c>
      <c r="E41" t="str">
        <f>VLOOKUP(C41,$A$41:$A$44,1,0)</f>
        <v>Luis Amador</v>
      </c>
      <c r="F41" t="str">
        <f>IFERROR(VLOOKUP(C41,$A$41:$A$44,1,FALSE),"NUEVO!")</f>
        <v>Luis Amador</v>
      </c>
    </row>
    <row r="42" spans="1:7" x14ac:dyDescent="0.3">
      <c r="A42" t="s">
        <v>131</v>
      </c>
      <c r="C42" t="s">
        <v>134</v>
      </c>
      <c r="E42" t="e">
        <f t="shared" ref="E42:E44" si="2">VLOOKUP(C42,$A$41:$A$44,1,0)</f>
        <v>#N/A</v>
      </c>
      <c r="F42" t="str">
        <f>IFERROR(VLOOKUP(C42,$A$41:$A$44,1,FALSE),"NUEVO!")</f>
        <v>NUEVO!</v>
      </c>
    </row>
    <row r="43" spans="1:7" x14ac:dyDescent="0.3">
      <c r="A43" t="s">
        <v>132</v>
      </c>
      <c r="C43" t="s">
        <v>135</v>
      </c>
      <c r="E43" t="e">
        <f t="shared" si="2"/>
        <v>#N/A</v>
      </c>
      <c r="F43" t="str">
        <f>IFERROR(VLOOKUP(C43,$A$41:$A$44,1,FALSE),"NUEVO!")</f>
        <v>NUEVO!</v>
      </c>
    </row>
    <row r="44" spans="1:7" x14ac:dyDescent="0.3">
      <c r="A44" t="s">
        <v>133</v>
      </c>
      <c r="C44" t="s">
        <v>136</v>
      </c>
      <c r="E44" t="e">
        <f t="shared" si="2"/>
        <v>#N/A</v>
      </c>
      <c r="F44" t="str">
        <f>IFERROR(VLOOKUP(C44,$A$41:$A$44,1,FALSE),"NUEVO!")</f>
        <v>NUEVO!</v>
      </c>
    </row>
    <row r="47" spans="1:7" x14ac:dyDescent="0.3">
      <c r="A47" s="15" t="s">
        <v>137</v>
      </c>
      <c r="B47" s="15"/>
      <c r="C47" s="15"/>
      <c r="D47" s="15"/>
      <c r="E47" s="15"/>
      <c r="F47" s="15"/>
      <c r="G47" s="15"/>
    </row>
  </sheetData>
  <mergeCells count="9">
    <mergeCell ref="C40:D40"/>
    <mergeCell ref="A40:B40"/>
    <mergeCell ref="A47:G47"/>
    <mergeCell ref="A7:F7"/>
    <mergeCell ref="A8:G8"/>
    <mergeCell ref="A9:G9"/>
    <mergeCell ref="A10:G10"/>
    <mergeCell ref="A21:G21"/>
    <mergeCell ref="A22:G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1-Funciones_1</vt:lpstr>
      <vt:lpstr>2-Funciones_2</vt:lpstr>
      <vt:lpstr>3-Funciones_3</vt:lpstr>
      <vt:lpstr>4-Funciones_4</vt:lpstr>
      <vt:lpstr>5-Funciones_5</vt:lpstr>
      <vt:lpstr>6-Funciones_6</vt:lpstr>
      <vt:lpstr>7-Funciones_7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2021-05-26T14:02:42Z</dcterms:modified>
</cp:coreProperties>
</file>
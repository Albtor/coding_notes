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82317334-1959-44EA-9A22-033B719CFF59}" xr6:coauthVersionLast="47" xr6:coauthVersionMax="47" xr10:uidLastSave="{00000000-0000-0000-0000-000000000000}"/>
  <bookViews>
    <workbookView xWindow="36315" yWindow="3075" windowWidth="16485" windowHeight="10125" xr2:uid="{00000000-000D-0000-FFFF-FFFF00000000}"/>
  </bookViews>
  <sheets>
    <sheet name="01-FuncionesNuevas_0" sheetId="4" r:id="rId1"/>
    <sheet name="1-FuncionesNuevas_1" sheetId="1" r:id="rId2"/>
    <sheet name="2-FuncionesNuevas-2" sheetId="2" r:id="rId3"/>
    <sheet name="3-FuncionesNuevas_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 a="1"/>
  <c r="C2" i="4" s="1"/>
  <c r="C3" i="4" a="1"/>
  <c r="C3" i="4" s="1"/>
  <c r="C4" i="4" a="1"/>
  <c r="C4" i="4" s="1"/>
  <c r="C5" i="4" a="1"/>
  <c r="C5" i="4" s="1"/>
  <c r="C6" i="4" a="1"/>
  <c r="C6" i="4" s="1"/>
  <c r="G2" i="3"/>
  <c r="G3" i="3"/>
  <c r="G4" i="3"/>
  <c r="G5" i="3"/>
  <c r="G6" i="3"/>
  <c r="F2" i="3"/>
  <c r="F3" i="3"/>
  <c r="F4" i="3"/>
  <c r="F5" i="3"/>
  <c r="F6" i="3"/>
  <c r="H2" i="3"/>
  <c r="H3" i="3"/>
  <c r="H4" i="3"/>
  <c r="H5" i="3"/>
  <c r="H6" i="3"/>
  <c r="E6" i="3"/>
  <c r="E2" i="3"/>
  <c r="E3" i="3"/>
  <c r="E4" i="3"/>
  <c r="E5" i="3"/>
  <c r="B27" i="2" a="1"/>
  <c r="B27" i="2" s="1"/>
  <c r="C27" i="2" a="1"/>
  <c r="C27" i="2" s="1"/>
  <c r="D27" i="2" a="1"/>
  <c r="D27" i="2" s="1"/>
  <c r="E27" i="2" a="1"/>
  <c r="E27" i="2" s="1"/>
  <c r="E2" i="2" a="1"/>
  <c r="E2" i="2" s="1"/>
  <c r="B2" i="2" a="1"/>
  <c r="B2" i="2" s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G6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<sst xmlns="http://schemas.openxmlformats.org/spreadsheetml/2006/main" count="78" uniqueCount="70">
  <si>
    <t>PAIS</t>
  </si>
  <si>
    <t>RENTA PER CAPITA</t>
  </si>
  <si>
    <t>EEUU</t>
  </si>
  <si>
    <t>California</t>
  </si>
  <si>
    <t>ESPAÑA</t>
  </si>
  <si>
    <t>Madrid</t>
  </si>
  <si>
    <t>ALEMANIA</t>
  </si>
  <si>
    <t>Berlin</t>
  </si>
  <si>
    <t>FRANCIA</t>
  </si>
  <si>
    <t>Paris</t>
  </si>
  <si>
    <t>Renta per cápita más alta</t>
  </si>
  <si>
    <t>New York</t>
  </si>
  <si>
    <t>Minessotta</t>
  </si>
  <si>
    <t>CIUDAD</t>
  </si>
  <si>
    <t>ZONAS</t>
  </si>
  <si>
    <t>MAX.SI CONJUNTO</t>
  </si>
  <si>
    <t>West</t>
  </si>
  <si>
    <t>East</t>
  </si>
  <si>
    <t>MidWest</t>
  </si>
  <si>
    <t>Boston</t>
  </si>
  <si>
    <t>F2 para ver la funcion</t>
  </si>
  <si>
    <t>Renta per capita por zonas</t>
  </si>
  <si>
    <t>Rango Max</t>
  </si>
  <si>
    <t>Rango Criterios 1 (Filas)</t>
  </si>
  <si>
    <t>Criterio 1 "EEUU"</t>
  </si>
  <si>
    <t>Rango Criterios 2 - Zonas</t>
  </si>
  <si>
    <t>Criterio 2 "East"</t>
  </si>
  <si>
    <t>/=MAX.SI.CONJUNTO(D2:D8;A2:A8;"EEUU")</t>
  </si>
  <si>
    <t>/=MAX.SI.CONJUNTO(D2:D8;A2:A8;"EEUU";C2:C8;"East")</t>
  </si>
  <si>
    <t>Nº de dia</t>
  </si>
  <si>
    <t>Dia de la semana</t>
  </si>
  <si>
    <t>Funcion Cambiar</t>
  </si>
  <si>
    <t>Nota</t>
  </si>
  <si>
    <t>Calificacion</t>
  </si>
  <si>
    <t>/=CAMBIAR(A2;1;"Lunes";2;"Martes";3;"Miercoles";4;"Jueves";5;"Viernes";6;"Sabado";7;"Domingo")</t>
  </si>
  <si>
    <t>/=CAMBIAR(D2;1;"Insuficiente";2;"Insuficiente";3;"Insuficiente";4;"Insuficiente";5;"Suficiente";6;"Bien";7;"Notable";8;"Notable";9;"Sobresaliente";10;"Matricula")</t>
  </si>
  <si>
    <t>TIPOS DE INTERES</t>
  </si>
  <si>
    <t>Bajo</t>
  </si>
  <si>
    <t>Normal</t>
  </si>
  <si>
    <t>Alto</t>
  </si>
  <si>
    <t>Interes</t>
  </si>
  <si>
    <t>Aquí hay que tener cuidado con las referencias en la fórmula</t>
  </si>
  <si>
    <t>/=CAMBIAR($B$24;$A$20;B20;$A$21;B21;$A$22;B22)</t>
  </si>
  <si>
    <t>Concat y unir cadenas</t>
  </si>
  <si>
    <t xml:space="preserve">NOMBRE </t>
  </si>
  <si>
    <t>APELLIDO</t>
  </si>
  <si>
    <t>EDAD</t>
  </si>
  <si>
    <t>Maria</t>
  </si>
  <si>
    <t>Rojas</t>
  </si>
  <si>
    <t>Sandra</t>
  </si>
  <si>
    <t>Lopez</t>
  </si>
  <si>
    <t>Antonio</t>
  </si>
  <si>
    <t>Martin</t>
  </si>
  <si>
    <t>Luis</t>
  </si>
  <si>
    <t>Perez</t>
  </si>
  <si>
    <t>/=CONCAT(A2:C2)</t>
  </si>
  <si>
    <t>Ana</t>
  </si>
  <si>
    <t>con separadores</t>
  </si>
  <si>
    <t>/=CONCAT(A2;" ";B2;" ";C2)</t>
  </si>
  <si>
    <t>UNIRCADENAS</t>
  </si>
  <si>
    <t>/=UNIRCADENAS(" ";FALSO;A2:C2)</t>
  </si>
  <si>
    <t>/=CONCAT(A2:C6)</t>
  </si>
  <si>
    <t>ALUMNO</t>
  </si>
  <si>
    <t>NOTA</t>
  </si>
  <si>
    <t>CALIFICACION</t>
  </si>
  <si>
    <t>Pedro</t>
  </si>
  <si>
    <t>Jorge</t>
  </si>
  <si>
    <t>SI.CONJUNTO</t>
  </si>
  <si>
    <t>/=SI.CONJUNTO(B2&lt;5;"INSUFICIENTE";B2&lt;6;"SUFICIENTE";B2&lt;7;"BIEN";B2&lt;9;"NOTABLE";B2&lt;=10;"SOBRESALIENTE")</t>
  </si>
  <si>
    <t>/=SI.CONJUNTO(B2&lt;5;"INSUFICIENTE";B2&lt;6;"SUFICIENTE";B2&lt;7;"BIEN";B2&lt;9;"NOTABLE";VERDADERO)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</si>
</sst>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10" fontId="0" fillId="0" borderId="0" xfId="0" applyNumberFormat="1"/>
    <xf numFmtId="0" fontId="0" fillId="4" borderId="0" xfId="0" applyFill="1"/>
    <xf numFmtId="0" fontId="0" fillId="5" borderId="0" xfId="0" applyFill="1"/>
    <xf numFmtId="10" fontId="0" fillId="5" borderId="0" xfId="0" applyNumberFormat="1" applyFill="1"/>
    <xf numFmtId="0" fontId="0" fillId="0" borderId="0" xfId="0" applyFont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B5F0-2FB0-472A-92F8-35C953C34289}">
  <dimension ref="A1:E15"/>
  <sheetViews>
    <sheetView tabSelected="1" workbookViewId="0">
      <selection activeCell="A14" sqref="A14:E14"/>
    </sheetView>
  </sheetViews>
  <sheetFormatPr baseColWidth="10" defaultRowHeight="14.4" x14ac:dyDescent="0.3"/>
  <cols>
    <col min="3" max="3" width="15" customWidth="1"/>
  </cols>
  <sheetData>
    <row r="1" spans="1:5" x14ac:dyDescent="0.3">
      <c r="A1" s="4" t="s">
        <v>62</v>
      </c>
      <c r="B1" s="4" t="s">
        <v>63</v>
      </c>
      <c r="C1" s="4" t="s">
        <v>64</v>
      </c>
    </row>
    <row r="2" spans="1:5" x14ac:dyDescent="0.3">
      <c r="A2" t="s">
        <v>56</v>
      </c>
      <c r="B2">
        <v>7.5</v>
      </c>
      <c r="C2" t="str" cm="1">
        <f t="array" ref="C2">_xlfn.IFS(B2&lt;5,"INSUFICIENTE",B2&lt;6,"SUFICIENTE",B2&lt;7,"BIEN",B2&lt;9,"NOTABLE",B2&lt;=10,"SOBRESALIENTE")</f>
        <v>NOTABLE</v>
      </c>
    </row>
    <row r="3" spans="1:5" x14ac:dyDescent="0.3">
      <c r="A3" t="s">
        <v>65</v>
      </c>
      <c r="B3">
        <v>5.5</v>
      </c>
      <c r="C3" t="str" cm="1">
        <f t="array" ref="C3">_xlfn.IFS(B3&lt;5,"INSUFICIENTE",B3&lt;6,"SUFICIENTE",B3&lt;7,"BIEN",B3&lt;9,"NOTABLE",B3&lt;=10,"SOBRESALIENTE")</f>
        <v>SUFICIENTE</v>
      </c>
    </row>
    <row r="4" spans="1:5" x14ac:dyDescent="0.3">
      <c r="A4" t="s">
        <v>51</v>
      </c>
      <c r="B4">
        <v>3</v>
      </c>
      <c r="C4" t="str" cm="1">
        <f t="array" ref="C4">_xlfn.IFS(B4&lt;5,"INSUFICIENTE",B4&lt;6,"SUFICIENTE",B4&lt;7,"BIEN",B4&lt;9,"NOTABLE",B4&lt;=10,"SOBRESALIENTE")</f>
        <v>INSUFICIENTE</v>
      </c>
    </row>
    <row r="5" spans="1:5" x14ac:dyDescent="0.3">
      <c r="A5" t="s">
        <v>49</v>
      </c>
      <c r="B5">
        <v>8</v>
      </c>
      <c r="C5" t="str" cm="1">
        <f t="array" ref="C5">_xlfn.IFS(B5&lt;5,"INSUFICIENTE",B5&lt;6,"SUFICIENTE",B5&lt;7,"BIEN",B5&lt;9,"NOTABLE",B5&lt;=10,"SOBRESALIENTE")</f>
        <v>NOTABLE</v>
      </c>
    </row>
    <row r="6" spans="1:5" x14ac:dyDescent="0.3">
      <c r="A6" t="s">
        <v>66</v>
      </c>
      <c r="B6">
        <v>8.5</v>
      </c>
      <c r="C6" t="str" cm="1">
        <f t="array" ref="C6">_xlfn.IFS(B6&lt;5,"INSUFICIENTE",B6&lt;6,"SUFICIENTE",B6&lt;7,"BIEN",B6&lt;9,"NOTABLE",B6&lt;=10,"SOBRESALIENTE")</f>
        <v>NOTABLE</v>
      </c>
    </row>
    <row r="12" spans="1:5" x14ac:dyDescent="0.3">
      <c r="A12" s="11" t="s">
        <v>67</v>
      </c>
      <c r="B12" s="11"/>
      <c r="C12" s="11"/>
      <c r="D12" s="11"/>
      <c r="E12" s="11"/>
    </row>
    <row r="13" spans="1:5" x14ac:dyDescent="0.3">
      <c r="A13" s="11" t="s">
        <v>68</v>
      </c>
      <c r="B13" s="11"/>
      <c r="C13" s="11"/>
      <c r="D13" s="11"/>
      <c r="E13" s="11"/>
    </row>
    <row r="14" spans="1:5" x14ac:dyDescent="0.3">
      <c r="A14" s="11" t="s">
        <v>69</v>
      </c>
      <c r="B14" s="11"/>
      <c r="C14" s="11"/>
      <c r="D14" s="11"/>
      <c r="E14" s="11"/>
    </row>
    <row r="15" spans="1:5" x14ac:dyDescent="0.3">
      <c r="A15" s="11"/>
      <c r="B15" s="11"/>
      <c r="C15" s="11"/>
      <c r="D15" s="11"/>
      <c r="E15" s="11"/>
    </row>
  </sheetData>
  <mergeCells count="4">
    <mergeCell ref="A12:E12"/>
    <mergeCell ref="A13:E13"/>
    <mergeCell ref="A14:E14"/>
    <mergeCell ref="A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A17" sqref="A17:F17"/>
    </sheetView>
  </sheetViews>
  <sheetFormatPr baseColWidth="10" defaultColWidth="8.88671875" defaultRowHeight="14.4" x14ac:dyDescent="0.3"/>
  <cols>
    <col min="1" max="1" width="14" customWidth="1"/>
    <col min="2" max="3" width="13.109375" customWidth="1"/>
    <col min="4" max="4" width="20.88671875" customWidth="1"/>
    <col min="7" max="7" width="29.33203125" customWidth="1"/>
  </cols>
  <sheetData>
    <row r="1" spans="1:8" x14ac:dyDescent="0.3">
      <c r="A1" s="2" t="s">
        <v>0</v>
      </c>
      <c r="B1" s="2" t="s">
        <v>13</v>
      </c>
      <c r="C1" s="2" t="s">
        <v>14</v>
      </c>
      <c r="D1" s="2" t="s">
        <v>1</v>
      </c>
    </row>
    <row r="2" spans="1:8" x14ac:dyDescent="0.3">
      <c r="A2" t="s">
        <v>2</v>
      </c>
      <c r="B2" t="s">
        <v>3</v>
      </c>
      <c r="C2" t="s">
        <v>16</v>
      </c>
      <c r="D2" s="1">
        <v>70000</v>
      </c>
      <c r="G2" s="3" t="s">
        <v>10</v>
      </c>
      <c r="H2" t="s">
        <v>20</v>
      </c>
    </row>
    <row r="3" spans="1:8" x14ac:dyDescent="0.3">
      <c r="A3" t="s">
        <v>4</v>
      </c>
      <c r="B3" t="s">
        <v>5</v>
      </c>
      <c r="D3" s="1">
        <v>39000</v>
      </c>
      <c r="G3" s="3">
        <f>J11</f>
        <v>0</v>
      </c>
    </row>
    <row r="4" spans="1:8" x14ac:dyDescent="0.3">
      <c r="A4" t="s">
        <v>6</v>
      </c>
      <c r="B4" t="s">
        <v>7</v>
      </c>
      <c r="D4" s="1">
        <v>52000</v>
      </c>
      <c r="G4" s="3"/>
    </row>
    <row r="5" spans="1:8" x14ac:dyDescent="0.3">
      <c r="A5" t="s">
        <v>8</v>
      </c>
      <c r="B5" t="s">
        <v>9</v>
      </c>
      <c r="D5" s="1">
        <v>42000</v>
      </c>
      <c r="G5" s="3" t="s">
        <v>21</v>
      </c>
    </row>
    <row r="6" spans="1:8" x14ac:dyDescent="0.3">
      <c r="A6" t="s">
        <v>2</v>
      </c>
      <c r="B6" t="s">
        <v>11</v>
      </c>
      <c r="C6" t="s">
        <v>17</v>
      </c>
      <c r="D6" s="1">
        <v>60000</v>
      </c>
      <c r="G6" s="3">
        <f>I15</f>
        <v>0</v>
      </c>
    </row>
    <row r="7" spans="1:8" x14ac:dyDescent="0.3">
      <c r="A7" t="s">
        <v>2</v>
      </c>
      <c r="B7" t="s">
        <v>12</v>
      </c>
      <c r="C7" t="s">
        <v>18</v>
      </c>
      <c r="D7" s="1">
        <v>45000</v>
      </c>
    </row>
    <row r="8" spans="1:8" x14ac:dyDescent="0.3">
      <c r="A8" t="s">
        <v>2</v>
      </c>
      <c r="B8" t="s">
        <v>19</v>
      </c>
      <c r="C8" t="s">
        <v>17</v>
      </c>
      <c r="D8" s="1">
        <v>55000</v>
      </c>
    </row>
    <row r="10" spans="1:8" x14ac:dyDescent="0.3">
      <c r="A10" s="13"/>
      <c r="B10" s="13"/>
      <c r="C10" s="13"/>
      <c r="D10" s="13"/>
      <c r="E10" s="13"/>
      <c r="F10" s="13"/>
    </row>
    <row r="11" spans="1:8" x14ac:dyDescent="0.3">
      <c r="A11" s="11" t="s">
        <v>15</v>
      </c>
      <c r="B11" s="11"/>
      <c r="C11" s="11"/>
      <c r="D11" s="11"/>
      <c r="E11" s="11"/>
      <c r="F11" s="11"/>
    </row>
    <row r="12" spans="1:8" x14ac:dyDescent="0.3">
      <c r="A12" s="11" t="s">
        <v>22</v>
      </c>
      <c r="B12" s="11"/>
      <c r="C12" s="11"/>
      <c r="D12" s="11"/>
      <c r="E12" s="11"/>
      <c r="F12" s="11"/>
    </row>
    <row r="13" spans="1:8" x14ac:dyDescent="0.3">
      <c r="A13" s="11" t="s">
        <v>23</v>
      </c>
      <c r="B13" s="11"/>
      <c r="C13" s="11"/>
      <c r="D13" s="11"/>
      <c r="E13" s="11"/>
      <c r="F13" s="11"/>
    </row>
    <row r="14" spans="1:8" x14ac:dyDescent="0.3">
      <c r="A14" s="11" t="s">
        <v>27</v>
      </c>
      <c r="B14" s="11"/>
      <c r="C14" s="11"/>
      <c r="D14" s="11"/>
      <c r="E14" s="11"/>
      <c r="F14" s="11"/>
    </row>
    <row r="15" spans="1:8" x14ac:dyDescent="0.3">
      <c r="A15" s="11" t="s">
        <v>24</v>
      </c>
      <c r="B15" s="11"/>
      <c r="C15" s="11"/>
      <c r="D15" s="11"/>
      <c r="E15" s="11"/>
      <c r="F15" s="11"/>
    </row>
    <row r="16" spans="1:8" x14ac:dyDescent="0.3">
      <c r="A16" s="10" t="s">
        <v>25</v>
      </c>
      <c r="B16" s="10"/>
      <c r="C16" s="10"/>
      <c r="D16" s="10"/>
      <c r="E16" s="10"/>
      <c r="F16" s="10"/>
    </row>
    <row r="17" spans="1:6" x14ac:dyDescent="0.3">
      <c r="A17" s="10" t="s">
        <v>26</v>
      </c>
      <c r="B17" s="10"/>
      <c r="C17" s="10"/>
      <c r="D17" s="10"/>
      <c r="E17" s="10"/>
      <c r="F17" s="10"/>
    </row>
    <row r="18" spans="1:6" x14ac:dyDescent="0.3">
      <c r="A18" s="12" t="s">
        <v>28</v>
      </c>
      <c r="B18" s="12"/>
      <c r="C18" s="12"/>
      <c r="D18" s="12"/>
      <c r="E18" s="12"/>
      <c r="F18" s="12"/>
    </row>
  </sheetData>
  <mergeCells count="9">
    <mergeCell ref="A17:F17"/>
    <mergeCell ref="A14:F14"/>
    <mergeCell ref="A18:F18"/>
    <mergeCell ref="A10:F10"/>
    <mergeCell ref="A11:F11"/>
    <mergeCell ref="A12:F12"/>
    <mergeCell ref="A13:F13"/>
    <mergeCell ref="A15:F15"/>
    <mergeCell ref="A16:F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036C-17D1-4792-A271-966F497C7B0E}">
  <dimension ref="A1:E33"/>
  <sheetViews>
    <sheetView topLeftCell="A22" workbookViewId="0">
      <selection activeCell="A30" sqref="A30:D32"/>
    </sheetView>
  </sheetViews>
  <sheetFormatPr baseColWidth="10" defaultRowHeight="14.4" x14ac:dyDescent="0.3"/>
  <cols>
    <col min="1" max="1" width="17.5546875" customWidth="1"/>
    <col min="2" max="2" width="20.33203125" customWidth="1"/>
    <col min="5" max="5" width="13" customWidth="1"/>
  </cols>
  <sheetData>
    <row r="1" spans="1:5" x14ac:dyDescent="0.3">
      <c r="A1" s="4" t="s">
        <v>29</v>
      </c>
      <c r="B1" s="4" t="s">
        <v>30</v>
      </c>
      <c r="D1" s="4" t="s">
        <v>32</v>
      </c>
      <c r="E1" s="4" t="s">
        <v>33</v>
      </c>
    </row>
    <row r="2" spans="1:5" x14ac:dyDescent="0.3">
      <c r="A2">
        <v>4</v>
      </c>
      <c r="B2" t="str" cm="1">
        <f t="array" ref="B2">_xlfn.SWITCH(A2,1,"Lunes",2,"Martes",3,"Miercoles",4,"Jueves",5,"Viernes",6,"Sabado",7,"Domingo")</f>
        <v>Jueves</v>
      </c>
      <c r="D2">
        <v>4</v>
      </c>
      <c r="E2" t="str" cm="1">
        <f t="array" ref="E2">_xlfn.SWITCH(D2,1,"Insuficiente",2,"Insuficiente",3,"Insuficiente",4,"Insuficiente",5,"Suficiente",6,"Bien",7,"Notable",8,"Notable",9,"Sobresaliente",10,"Matricula")</f>
        <v>Insuficiente</v>
      </c>
    </row>
    <row r="3" spans="1:5" x14ac:dyDescent="0.3">
      <c r="A3">
        <v>1</v>
      </c>
      <c r="B3" t="str" cm="1">
        <f t="array" ref="B3">_xlfn.SWITCH(A3,1,"Lunes",2,"Martes",3,"Miercoles",4,"Jueves",5,"Viernes",6,"Sabado",7,"Domingo")</f>
        <v>Lunes</v>
      </c>
      <c r="D3">
        <v>6</v>
      </c>
      <c r="E3" t="str" cm="1">
        <f t="array" ref="E3">_xlfn.SWITCH(D3,1,"Insuficiente",2,"Insuficiente",3,"Insuficiente",4,"Insuficiente",5,"Suficiente",6,"Bien",7,"Notable",8,"Notable",9,"Sobresaliente",10,"Matricula")</f>
        <v>Bien</v>
      </c>
    </row>
    <row r="4" spans="1:5" x14ac:dyDescent="0.3">
      <c r="A4">
        <v>3</v>
      </c>
      <c r="B4" t="str" cm="1">
        <f t="array" ref="B4">_xlfn.SWITCH(A4,1,"Lunes",2,"Martes",3,"Miercoles",4,"Jueves",5,"Viernes",6,"Sabado",7,"Domingo")</f>
        <v>Miercoles</v>
      </c>
      <c r="D4">
        <v>8</v>
      </c>
      <c r="E4" t="str" cm="1">
        <f t="array" ref="E4">_xlfn.SWITCH(D4,1,"Insuficiente",2,"Insuficiente",3,"Insuficiente",4,"Insuficiente",5,"Suficiente",6,"Bien",7,"Notable",8,"Notable",9,"Sobresaliente",10,"Matricula")</f>
        <v>Notable</v>
      </c>
    </row>
    <row r="5" spans="1:5" x14ac:dyDescent="0.3">
      <c r="A5">
        <v>2</v>
      </c>
      <c r="B5" t="str" cm="1">
        <f t="array" ref="B5">_xlfn.SWITCH(A5,1,"Lunes",2,"Martes",3,"Miercoles",4,"Jueves",5,"Viernes",6,"Sabado",7,"Domingo")</f>
        <v>Martes</v>
      </c>
      <c r="D5">
        <v>9</v>
      </c>
      <c r="E5" t="str" cm="1">
        <f t="array" ref="E5">_xlfn.SWITCH(D5,1,"Insuficiente",2,"Insuficiente",3,"Insuficiente",4,"Insuficiente",5,"Suficiente",6,"Bien",7,"Notable",8,"Notable",9,"Sobresaliente",10,"Matricula")</f>
        <v>Sobresaliente</v>
      </c>
    </row>
    <row r="6" spans="1:5" x14ac:dyDescent="0.3">
      <c r="A6">
        <v>5</v>
      </c>
      <c r="B6" t="str" cm="1">
        <f t="array" ref="B6">_xlfn.SWITCH(A6,1,"Lunes",2,"Martes",3,"Miercoles",4,"Jueves",5,"Viernes",6,"Sabado",7,"Domingo")</f>
        <v>Viernes</v>
      </c>
      <c r="D6">
        <v>7</v>
      </c>
      <c r="E6" t="str" cm="1">
        <f t="array" ref="E6">_xlfn.SWITCH(D6,1,"Insuficiente",2,"Insuficiente",3,"Insuficiente",4,"Insuficiente",5,"Suficiente",6,"Bien",7,"Notable",8,"Notable",9,"Sobresaliente",10,"Matricula")</f>
        <v>Notable</v>
      </c>
    </row>
    <row r="7" spans="1:5" x14ac:dyDescent="0.3">
      <c r="A7">
        <v>6</v>
      </c>
      <c r="B7" t="str" cm="1">
        <f t="array" ref="B7">_xlfn.SWITCH(A7,1,"Lunes",2,"Martes",3,"Miercoles",4,"Jueves",5,"Viernes",6,"Sabado",7,"Domingo")</f>
        <v>Sabado</v>
      </c>
      <c r="D7">
        <v>3</v>
      </c>
      <c r="E7" t="str" cm="1">
        <f t="array" ref="E7">_xlfn.SWITCH(D7,1,"Insuficiente",2,"Insuficiente",3,"Insuficiente",4,"Insuficiente",5,"Suficiente",6,"Bien",7,"Notable",8,"Notable",9,"Sobresaliente",10,"Matricula")</f>
        <v>Insuficiente</v>
      </c>
    </row>
    <row r="8" spans="1:5" x14ac:dyDescent="0.3">
      <c r="A8">
        <v>7</v>
      </c>
      <c r="B8" t="str" cm="1">
        <f t="array" ref="B8">_xlfn.SWITCH(A8,1,"Lunes",2,"Martes",3,"Miercoles",4,"Jueves",5,"Viernes",6,"Sabado",7,"Domingo")</f>
        <v>Domingo</v>
      </c>
      <c r="D8">
        <v>2</v>
      </c>
      <c r="E8" t="str" cm="1">
        <f t="array" ref="E8">_xlfn.SWITCH(D8,1,"Insuficiente",2,"Insuficiente",3,"Insuficiente",4,"Insuficiente",5,"Suficiente",6,"Bien",7,"Notable",8,"Notable",9,"Sobresaliente",10,"Matricula")</f>
        <v>Insuficiente</v>
      </c>
    </row>
    <row r="9" spans="1:5" x14ac:dyDescent="0.3">
      <c r="D9">
        <v>1</v>
      </c>
      <c r="E9" t="str" cm="1">
        <f t="array" ref="E9">_xlfn.SWITCH(D9,1,"Insuficiente",2,"Insuficiente",3,"Insuficiente",4,"Insuficiente",5,"Suficiente",6,"Bien",7,"Notable",8,"Notable",9,"Sobresaliente",10,"Matricula")</f>
        <v>Insuficiente</v>
      </c>
    </row>
    <row r="12" spans="1:5" x14ac:dyDescent="0.3">
      <c r="A12" s="11" t="s">
        <v>31</v>
      </c>
      <c r="B12" s="11"/>
      <c r="C12" s="11"/>
      <c r="D12" s="11"/>
    </row>
    <row r="13" spans="1:5" x14ac:dyDescent="0.3">
      <c r="A13" s="11" t="s">
        <v>34</v>
      </c>
      <c r="B13" s="11"/>
      <c r="C13" s="11"/>
      <c r="D13" s="11"/>
    </row>
    <row r="14" spans="1:5" x14ac:dyDescent="0.3">
      <c r="A14" s="11" t="s">
        <v>35</v>
      </c>
      <c r="B14" s="11"/>
      <c r="C14" s="11"/>
      <c r="D14" s="11"/>
    </row>
    <row r="15" spans="1:5" x14ac:dyDescent="0.3">
      <c r="A15" s="11"/>
      <c r="B15" s="11"/>
      <c r="C15" s="11"/>
      <c r="D15" s="11"/>
    </row>
    <row r="18" spans="1:5" x14ac:dyDescent="0.3">
      <c r="A18" s="3" t="s">
        <v>36</v>
      </c>
      <c r="B18" s="3"/>
      <c r="C18" s="3"/>
      <c r="D18" s="3"/>
      <c r="E18" s="3"/>
    </row>
    <row r="19" spans="1:5" x14ac:dyDescent="0.3">
      <c r="A19" s="7"/>
      <c r="B19" s="7">
        <v>2015</v>
      </c>
      <c r="C19" s="7">
        <v>2016</v>
      </c>
      <c r="D19" s="7">
        <v>2017</v>
      </c>
      <c r="E19" s="7">
        <v>2018</v>
      </c>
    </row>
    <row r="20" spans="1:5" x14ac:dyDescent="0.3">
      <c r="A20" s="7" t="s">
        <v>37</v>
      </c>
      <c r="B20" s="8">
        <v>2.75E-2</v>
      </c>
      <c r="C20" s="8">
        <v>2.35E-2</v>
      </c>
      <c r="D20" s="8">
        <v>2.4E-2</v>
      </c>
      <c r="E20" s="8">
        <v>2.2499999999999999E-2</v>
      </c>
    </row>
    <row r="21" spans="1:5" x14ac:dyDescent="0.3">
      <c r="A21" s="7" t="s">
        <v>38</v>
      </c>
      <c r="B21" s="8">
        <v>3.2500000000000001E-2</v>
      </c>
      <c r="C21" s="8">
        <v>2.8500000000000001E-2</v>
      </c>
      <c r="D21" s="8">
        <v>2.9000000000000001E-2</v>
      </c>
      <c r="E21" s="8">
        <v>2.75E-2</v>
      </c>
    </row>
    <row r="22" spans="1:5" x14ac:dyDescent="0.3">
      <c r="A22" s="7" t="s">
        <v>39</v>
      </c>
      <c r="B22" s="8">
        <v>3.7499999999999999E-2</v>
      </c>
      <c r="C22" s="8">
        <v>3.3500000000000002E-2</v>
      </c>
      <c r="D22" s="8">
        <v>3.4000000000000002E-2</v>
      </c>
      <c r="E22" s="8">
        <v>3.2500000000000001E-2</v>
      </c>
    </row>
    <row r="24" spans="1:5" x14ac:dyDescent="0.3">
      <c r="A24" s="6" t="s">
        <v>40</v>
      </c>
      <c r="B24" s="6" t="s">
        <v>37</v>
      </c>
    </row>
    <row r="26" spans="1:5" x14ac:dyDescent="0.3">
      <c r="B26">
        <v>2015</v>
      </c>
      <c r="C26">
        <v>2016</v>
      </c>
      <c r="D26">
        <v>2017</v>
      </c>
      <c r="E26">
        <v>2018</v>
      </c>
    </row>
    <row r="27" spans="1:5" x14ac:dyDescent="0.3">
      <c r="B27" s="5" cm="1">
        <f t="array" ref="B27">_xlfn.SWITCH($B$24,$A$20,B20,$A$21,B21,$A$22,B22)</f>
        <v>2.75E-2</v>
      </c>
      <c r="C27" s="5" cm="1">
        <f t="array" ref="C27">_xlfn.SWITCH($B$24,$A$20,C20,$A$21,C21,$A$22,C22)</f>
        <v>2.35E-2</v>
      </c>
      <c r="D27" s="5" cm="1">
        <f t="array" ref="D27">_xlfn.SWITCH($B$24,$A$20,D20,$A$21,D21,$A$22,D22)</f>
        <v>2.4E-2</v>
      </c>
      <c r="E27" s="5" cm="1">
        <f t="array" ref="E27">_xlfn.SWITCH($B$24,$A$20,E20,$A$21,E21,$A$22,E22)</f>
        <v>2.2499999999999999E-2</v>
      </c>
    </row>
    <row r="30" spans="1:5" x14ac:dyDescent="0.3">
      <c r="A30" s="11" t="s">
        <v>41</v>
      </c>
      <c r="B30" s="11"/>
      <c r="C30" s="11"/>
      <c r="D30" s="11"/>
    </row>
    <row r="31" spans="1:5" x14ac:dyDescent="0.3">
      <c r="A31" s="11" t="s">
        <v>42</v>
      </c>
      <c r="B31" s="11"/>
      <c r="C31" s="11"/>
      <c r="D31" s="11"/>
    </row>
    <row r="33" spans="4:4" x14ac:dyDescent="0.3">
      <c r="D33" s="9"/>
    </row>
  </sheetData>
  <mergeCells count="6">
    <mergeCell ref="A31:D31"/>
    <mergeCell ref="A12:D12"/>
    <mergeCell ref="A13:D13"/>
    <mergeCell ref="A15:D15"/>
    <mergeCell ref="A14:D14"/>
    <mergeCell ref="A30:D30"/>
  </mergeCells>
  <dataValidations count="1">
    <dataValidation type="list" allowBlank="1" showInputMessage="1" showErrorMessage="1" sqref="B24" xr:uid="{15AB0C46-50A1-41A4-8CF5-779D4C898C67}">
      <formula1>$A$20:$A$22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952B-4719-436E-A1E6-4D7B516BAF65}">
  <dimension ref="A1:H15"/>
  <sheetViews>
    <sheetView workbookViewId="0">
      <selection activeCell="A15" sqref="A15:D15"/>
    </sheetView>
  </sheetViews>
  <sheetFormatPr baseColWidth="10" defaultRowHeight="14.4" x14ac:dyDescent="0.3"/>
  <cols>
    <col min="5" max="5" width="16.6640625" customWidth="1"/>
    <col min="6" max="6" width="18.44140625" customWidth="1"/>
    <col min="7" max="7" width="24.77734375" customWidth="1"/>
  </cols>
  <sheetData>
    <row r="1" spans="1:8" x14ac:dyDescent="0.3">
      <c r="A1" s="4" t="s">
        <v>44</v>
      </c>
      <c r="B1" s="4" t="s">
        <v>45</v>
      </c>
      <c r="C1" s="4" t="s">
        <v>46</v>
      </c>
      <c r="F1" s="4" t="s">
        <v>57</v>
      </c>
      <c r="G1" s="4" t="s">
        <v>59</v>
      </c>
    </row>
    <row r="2" spans="1:8" x14ac:dyDescent="0.3">
      <c r="A2" t="s">
        <v>47</v>
      </c>
      <c r="B2" t="s">
        <v>48</v>
      </c>
      <c r="C2">
        <v>30</v>
      </c>
      <c r="E2" t="str">
        <f>_xlfn.CONCAT(A2:C2)</f>
        <v>MariaRojas30</v>
      </c>
      <c r="F2" t="str">
        <f>_xlfn.CONCAT(A2," ",B2," ",C2)</f>
        <v>Maria Rojas 30</v>
      </c>
      <c r="G2" t="str">
        <f>_xlfn.TEXTJOIN(" ",FALSE,A2:C2)</f>
        <v>Maria Rojas 30</v>
      </c>
      <c r="H2" t="str">
        <f>_xlfn.CONCAT(A2:C5)</f>
        <v>MariaRojas30SandraLopez28AntonioMartin45LuisPerez21</v>
      </c>
    </row>
    <row r="3" spans="1:8" x14ac:dyDescent="0.3">
      <c r="A3" t="s">
        <v>49</v>
      </c>
      <c r="B3" t="s">
        <v>50</v>
      </c>
      <c r="C3">
        <v>28</v>
      </c>
      <c r="E3" t="str">
        <f t="shared" ref="E3:E6" si="0">_xlfn.CONCAT(A3:C3)</f>
        <v>SandraLopez28</v>
      </c>
      <c r="F3" t="str">
        <f t="shared" ref="F3:F6" si="1">_xlfn.CONCAT(A3," ",B3," ",C3)</f>
        <v>Sandra Lopez 28</v>
      </c>
      <c r="G3" t="str">
        <f t="shared" ref="G3:G6" si="2">_xlfn.TEXTJOIN(" ",FALSE,A3:C3)</f>
        <v>Sandra Lopez 28</v>
      </c>
      <c r="H3" t="str">
        <f>_xlfn.CONCAT(A3:C6)</f>
        <v>SandraLopez28AntonioMartin45LuisPerez21Ana34</v>
      </c>
    </row>
    <row r="4" spans="1:8" x14ac:dyDescent="0.3">
      <c r="A4" t="s">
        <v>51</v>
      </c>
      <c r="B4" t="s">
        <v>52</v>
      </c>
      <c r="C4">
        <v>45</v>
      </c>
      <c r="E4" t="str">
        <f t="shared" si="0"/>
        <v>AntonioMartin45</v>
      </c>
      <c r="F4" t="str">
        <f t="shared" si="1"/>
        <v>Antonio Martin 45</v>
      </c>
      <c r="G4" t="str">
        <f t="shared" si="2"/>
        <v>Antonio Martin 45</v>
      </c>
      <c r="H4" t="str">
        <f>_xlfn.CONCAT(A4:C7)</f>
        <v>AntonioMartin45LuisPerez21Ana34</v>
      </c>
    </row>
    <row r="5" spans="1:8" x14ac:dyDescent="0.3">
      <c r="A5" t="s">
        <v>53</v>
      </c>
      <c r="B5" t="s">
        <v>54</v>
      </c>
      <c r="C5">
        <v>21</v>
      </c>
      <c r="E5" t="str">
        <f t="shared" si="0"/>
        <v>LuisPerez21</v>
      </c>
      <c r="F5" t="str">
        <f t="shared" si="1"/>
        <v>Luis Perez 21</v>
      </c>
      <c r="G5" t="str">
        <f t="shared" si="2"/>
        <v>Luis Perez 21</v>
      </c>
      <c r="H5" t="str">
        <f>_xlfn.CONCAT(A5:C8)</f>
        <v>LuisPerez21Ana34</v>
      </c>
    </row>
    <row r="6" spans="1:8" x14ac:dyDescent="0.3">
      <c r="A6" t="s">
        <v>56</v>
      </c>
      <c r="C6">
        <v>34</v>
      </c>
      <c r="E6" t="str">
        <f t="shared" si="0"/>
        <v>Ana34</v>
      </c>
      <c r="F6" t="str">
        <f t="shared" si="1"/>
        <v>Ana  34</v>
      </c>
      <c r="G6" t="str">
        <f t="shared" si="2"/>
        <v>Ana  34</v>
      </c>
      <c r="H6" t="str">
        <f>_xlfn.CONCAT(A6:C9)</f>
        <v>Ana34</v>
      </c>
    </row>
    <row r="11" spans="1:8" x14ac:dyDescent="0.3">
      <c r="A11" s="11" t="s">
        <v>43</v>
      </c>
      <c r="B11" s="11"/>
      <c r="C11" s="11"/>
      <c r="D11" s="11"/>
    </row>
    <row r="12" spans="1:8" x14ac:dyDescent="0.3">
      <c r="A12" s="11" t="s">
        <v>55</v>
      </c>
      <c r="B12" s="11"/>
      <c r="C12" s="11"/>
      <c r="D12" s="11"/>
    </row>
    <row r="13" spans="1:8" x14ac:dyDescent="0.3">
      <c r="A13" s="11" t="s">
        <v>58</v>
      </c>
      <c r="B13" s="11"/>
      <c r="C13" s="11"/>
      <c r="D13" s="11"/>
    </row>
    <row r="14" spans="1:8" x14ac:dyDescent="0.3">
      <c r="A14" s="11" t="s">
        <v>61</v>
      </c>
      <c r="B14" s="11"/>
      <c r="C14" s="11"/>
      <c r="D14" s="11"/>
    </row>
    <row r="15" spans="1:8" x14ac:dyDescent="0.3">
      <c r="A15" s="11" t="s">
        <v>60</v>
      </c>
      <c r="B15" s="11"/>
      <c r="C15" s="11"/>
      <c r="D15" s="11"/>
    </row>
  </sheetData>
  <mergeCells count="5">
    <mergeCell ref="A11:D11"/>
    <mergeCell ref="A12:D12"/>
    <mergeCell ref="A13:D13"/>
    <mergeCell ref="A14:D14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01-FuncionesNuevas_0</vt:lpstr>
      <vt:lpstr>1-FuncionesNuevas_1</vt:lpstr>
      <vt:lpstr>2-FuncionesNuevas-2</vt:lpstr>
      <vt:lpstr>3-FuncionesNuevas_3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2021-06-02T12:12:33Z</dcterms:modified>
</cp:coreProperties>
</file>
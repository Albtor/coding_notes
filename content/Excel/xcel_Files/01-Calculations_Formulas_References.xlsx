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34717\Documents\Coding\Excel\"/>
    </mc:Choice>
  </mc:AlternateContent>
  <xr:revisionPtr revIDLastSave="0" documentId="13_ncr:1_{C1561840-5B7D-4926-9063-D8207CC0DB86}" xr6:coauthVersionLast="46" xr6:coauthVersionMax="46" xr10:uidLastSave="{00000000-0000-0000-0000-000000000000}"/>
  <bookViews>
    <workbookView xWindow="32685" yWindow="1110" windowWidth="20670" windowHeight="10410" activeTab="5" xr2:uid="{00000000-000D-0000-FFFF-FFFF00000000}"/>
  </bookViews>
  <sheets>
    <sheet name="1-Formulas" sheetId="1" r:id="rId1"/>
    <sheet name="2-References 1" sheetId="2" r:id="rId2"/>
    <sheet name="3-References 2" sheetId="3" r:id="rId3"/>
    <sheet name="4-References 3" sheetId="4" r:id="rId4"/>
    <sheet name="5-Audit 1" sheetId="5" r:id="rId5"/>
    <sheet name="6-Audit 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6" l="1"/>
  <c r="I2" i="6"/>
  <c r="E9" i="6"/>
  <c r="E11" i="6"/>
  <c r="D11" i="6"/>
  <c r="F11" i="6" s="1"/>
  <c r="E10" i="6"/>
  <c r="F10" i="6" s="1"/>
  <c r="D10" i="6"/>
  <c r="D9" i="6"/>
  <c r="E8" i="6"/>
  <c r="D8" i="6"/>
  <c r="F8" i="6" s="1"/>
  <c r="F12" i="5"/>
  <c r="F11" i="5"/>
  <c r="F9" i="5"/>
  <c r="F10" i="5"/>
  <c r="F8" i="5"/>
  <c r="E11" i="5"/>
  <c r="D11" i="5"/>
  <c r="E9" i="5"/>
  <c r="E10" i="5"/>
  <c r="E8" i="5"/>
  <c r="D9" i="5"/>
  <c r="D10" i="5"/>
  <c r="D8" i="5"/>
  <c r="G5" i="4"/>
  <c r="G4" i="4"/>
  <c r="G3" i="4"/>
  <c r="D5" i="4"/>
  <c r="D4" i="4"/>
  <c r="D3" i="4"/>
  <c r="D9" i="4"/>
  <c r="C13" i="3"/>
  <c r="D13" i="3"/>
  <c r="E13" i="3"/>
  <c r="F13" i="3"/>
  <c r="G13" i="3"/>
  <c r="C14" i="3"/>
  <c r="D14" i="3"/>
  <c r="E14" i="3"/>
  <c r="F14" i="3"/>
  <c r="G14" i="3"/>
  <c r="C15" i="3"/>
  <c r="D15" i="3"/>
  <c r="E15" i="3"/>
  <c r="F15" i="3"/>
  <c r="G15" i="3"/>
  <c r="C12" i="3"/>
  <c r="D12" i="3"/>
  <c r="E12" i="3"/>
  <c r="F12" i="3"/>
  <c r="G12" i="3"/>
  <c r="B13" i="3"/>
  <c r="B14" i="3"/>
  <c r="B15" i="3"/>
  <c r="B12" i="3"/>
  <c r="F3" i="2"/>
  <c r="R22" i="2"/>
  <c r="I22" i="2"/>
  <c r="J22" i="2"/>
  <c r="K22" i="2"/>
  <c r="Q22" i="2"/>
  <c r="H22" i="2"/>
  <c r="F7" i="2"/>
  <c r="E4" i="2"/>
  <c r="E7" i="2"/>
  <c r="E10" i="2"/>
  <c r="F10" i="2" s="1"/>
  <c r="E12" i="2"/>
  <c r="R21" i="2"/>
  <c r="Q21" i="2"/>
  <c r="P21" i="2"/>
  <c r="P22" i="2" s="1"/>
  <c r="O21" i="2"/>
  <c r="O22" i="2" s="1"/>
  <c r="N21" i="2"/>
  <c r="N22" i="2" s="1"/>
  <c r="M21" i="2"/>
  <c r="M22" i="2" s="1"/>
  <c r="L21" i="2"/>
  <c r="L22" i="2" s="1"/>
  <c r="K21" i="2"/>
  <c r="J21" i="2"/>
  <c r="I21" i="2"/>
  <c r="H21" i="2"/>
  <c r="D13" i="2"/>
  <c r="E13" i="2" s="1"/>
  <c r="D12" i="2"/>
  <c r="F12" i="2" s="1"/>
  <c r="D11" i="2"/>
  <c r="E11" i="2" s="1"/>
  <c r="D10" i="2"/>
  <c r="D9" i="2"/>
  <c r="D8" i="2"/>
  <c r="D7" i="2"/>
  <c r="D6" i="2"/>
  <c r="E6" i="2" s="1"/>
  <c r="F6" i="2" s="1"/>
  <c r="D5" i="2"/>
  <c r="E5" i="2" s="1"/>
  <c r="D4" i="2"/>
  <c r="F4" i="2" s="1"/>
  <c r="D3" i="2"/>
  <c r="E3" i="2" s="1"/>
  <c r="F3" i="1"/>
  <c r="D4" i="1"/>
  <c r="D5" i="1"/>
  <c r="D6" i="1"/>
  <c r="D7" i="1"/>
  <c r="D8" i="1"/>
  <c r="D9" i="1"/>
  <c r="D10" i="1"/>
  <c r="D11" i="1"/>
  <c r="D12" i="1"/>
  <c r="D13" i="1"/>
  <c r="E3" i="1"/>
  <c r="E4" i="1"/>
  <c r="E5" i="1"/>
  <c r="E6" i="1"/>
  <c r="E7" i="1"/>
  <c r="E8" i="1"/>
  <c r="E9" i="1"/>
  <c r="E10" i="1"/>
  <c r="E11" i="1"/>
  <c r="E12" i="1"/>
  <c r="E13" i="1"/>
  <c r="D3" i="1"/>
  <c r="F12" i="6" l="1"/>
  <c r="F9" i="6"/>
  <c r="F8" i="2"/>
  <c r="F9" i="2"/>
  <c r="F13" i="2"/>
  <c r="F5" i="2"/>
  <c r="E9" i="2"/>
  <c r="E8" i="2"/>
  <c r="F11" i="2"/>
</calcChain>
</file>

<file path=xl/sharedStrings.xml><?xml version="1.0" encoding="utf-8"?>
<sst xmlns="http://schemas.openxmlformats.org/spreadsheetml/2006/main" count="162" uniqueCount="85">
  <si>
    <t>Cantidad</t>
  </si>
  <si>
    <t>Precio Unidad</t>
  </si>
  <si>
    <t>Total</t>
  </si>
  <si>
    <t>messas</t>
  </si>
  <si>
    <t>sillas</t>
  </si>
  <si>
    <t>cojines</t>
  </si>
  <si>
    <t>mecedoras</t>
  </si>
  <si>
    <t>lamparas</t>
  </si>
  <si>
    <t>cajoneras</t>
  </si>
  <si>
    <t>carpetas</t>
  </si>
  <si>
    <t>alfombras</t>
  </si>
  <si>
    <t>boligrafos</t>
  </si>
  <si>
    <t>adaptadores</t>
  </si>
  <si>
    <t>teclados</t>
  </si>
  <si>
    <t>PRESUPUESTO COMPRAS 2019</t>
  </si>
  <si>
    <t>Total=</t>
  </si>
  <si>
    <t>Arrastrar</t>
  </si>
  <si>
    <t>Rango C3:C13</t>
  </si>
  <si>
    <t>Formato Moneda: cuadro en inicio de general</t>
  </si>
  <si>
    <t>Test</t>
  </si>
  <si>
    <r>
      <t xml:space="preserve">Formulas con signoigual </t>
    </r>
    <r>
      <rPr>
        <b/>
        <sz val="11"/>
        <color theme="1"/>
        <rFont val="Calibri"/>
        <family val="2"/>
        <scheme val="minor"/>
      </rPr>
      <t>=</t>
    </r>
    <r>
      <rPr>
        <sz val="11"/>
        <color theme="1"/>
        <rFont val="Calibri"/>
        <family val="2"/>
        <scheme val="minor"/>
      </rPr>
      <t xml:space="preserve"> o el mas </t>
    </r>
    <r>
      <rPr>
        <b/>
        <sz val="11"/>
        <color theme="1"/>
        <rFont val="Calibri"/>
        <family val="2"/>
        <scheme val="minor"/>
      </rPr>
      <t>+</t>
    </r>
  </si>
  <si>
    <t>Doble clic en formula para que asigne a las filas de abajo ****</t>
  </si>
  <si>
    <t>Crear Tabla : Insertar &gt; Tabla</t>
  </si>
  <si>
    <t>mesas</t>
  </si>
  <si>
    <t>transponer datos: Copiar tabla y pegado "Especial" -&gt; Trasponer</t>
  </si>
  <si>
    <t>IVA</t>
  </si>
  <si>
    <t>Total con IVA</t>
  </si>
  <si>
    <t>Selección para rangos grandes. De la 1celda ctrl+shift abajo abajo / dcha dcha</t>
  </si>
  <si>
    <t>Ctrl+* seleccionas toda la tabla, excluir crear tabla quitando una celda N</t>
  </si>
  <si>
    <t>Referencia mixta J$1 $J1  F4</t>
  </si>
  <si>
    <t xml:space="preserve">Calculo de comisiones </t>
  </si>
  <si>
    <t>Comision</t>
  </si>
  <si>
    <t xml:space="preserve">Ventas </t>
  </si>
  <si>
    <t>Ene</t>
  </si>
  <si>
    <t>Feb</t>
  </si>
  <si>
    <t>Mar</t>
  </si>
  <si>
    <t>Abr</t>
  </si>
  <si>
    <t xml:space="preserve">May </t>
  </si>
  <si>
    <t>Jun</t>
  </si>
  <si>
    <t>Ana</t>
  </si>
  <si>
    <t>Antonio</t>
  </si>
  <si>
    <t>Maria</t>
  </si>
  <si>
    <t>Paco</t>
  </si>
  <si>
    <t>Comisiones</t>
  </si>
  <si>
    <t>Importancia de no poner referencia absoluta</t>
  </si>
  <si>
    <t>|----------&gt;</t>
  </si>
  <si>
    <t>TRIMESTRE 1</t>
  </si>
  <si>
    <t>Vendedor</t>
  </si>
  <si>
    <t>Salario Base</t>
  </si>
  <si>
    <t xml:space="preserve">Comision </t>
  </si>
  <si>
    <t>Salario Final</t>
  </si>
  <si>
    <t xml:space="preserve">Ana </t>
  </si>
  <si>
    <t>TRIMESTRE 2</t>
  </si>
  <si>
    <t>Copiar una formula a otro campo: copiar hace que se mantengan las referencias originales</t>
  </si>
  <si>
    <r>
      <rPr>
        <sz val="11"/>
        <color theme="4"/>
        <rFont val="Calibri"/>
        <family val="2"/>
        <scheme val="minor"/>
      </rPr>
      <t>Rastreo de precedentes:</t>
    </r>
    <r>
      <rPr>
        <sz val="11"/>
        <color theme="1"/>
        <rFont val="Calibri"/>
        <family val="2"/>
        <scheme val="minor"/>
      </rPr>
      <t xml:space="preserve"> Selección celda, ficha formulas, auditoria de formulas. Pone flechas, quitar*</t>
    </r>
  </si>
  <si>
    <t>Cortar es diferente: ya que guardaría los valores de la primera celda. Con rastreo de precedentes vemos</t>
  </si>
  <si>
    <t>Referencias absolutas, hay que hacer 1x1 fon $F$C y luego copiar en la otra tabla Trimestre 1</t>
  </si>
  <si>
    <t>Poner una formula en texto ^=B2+B4</t>
  </si>
  <si>
    <t>Ctrl + L Selecciona celdas y luego Ctrl L reemplazar O Buscar y Seleccionar, reemplazar</t>
  </si>
  <si>
    <t>ALBARAN</t>
  </si>
  <si>
    <t>NOMBRE EMPRESA ABMB</t>
  </si>
  <si>
    <t xml:space="preserve">ACTIVIDAD: MATERIAL INFORMATICO </t>
  </si>
  <si>
    <t xml:space="preserve">NOMBRE CLIENTE: Serviplus </t>
  </si>
  <si>
    <t>CONCEPTO</t>
  </si>
  <si>
    <t>UNIDADES</t>
  </si>
  <si>
    <t>PRECIO/Udad</t>
  </si>
  <si>
    <t>DTO</t>
  </si>
  <si>
    <t>TOTAL</t>
  </si>
  <si>
    <t>Ordenador Pentium</t>
  </si>
  <si>
    <t>Impresora</t>
  </si>
  <si>
    <t>Monitor</t>
  </si>
  <si>
    <t>Descuento</t>
  </si>
  <si>
    <t>Raton</t>
  </si>
  <si>
    <t>Uso de paréntesis ()</t>
  </si>
  <si>
    <t>Antes de eliminar una celda:  Rastrear dependientes</t>
  </si>
  <si>
    <t>Funciones SUM - Boton Autosuma (En formulas e inicio)</t>
  </si>
  <si>
    <t>Formulas &gt; Ventana de inspección, ver por ejemplo un presupuesto e ir ajustando. Ventan flotante, agregar inspeccion</t>
  </si>
  <si>
    <t>Desplazarnos de hoja de calculo amplia: Ctrl + i -&gt; Ir a</t>
  </si>
  <si>
    <t>Ir a ultima fila con info: Ctrl FIN</t>
  </si>
  <si>
    <t>Fórmulas &gt; Evaluación fórmulas</t>
  </si>
  <si>
    <t>#VALUE! - Cuando una celda tiene texto</t>
  </si>
  <si>
    <t>#DIV/0! - Division con denominador 0 - Infinito</t>
  </si>
  <si>
    <t>#REF! referencia no válida</t>
  </si>
  <si>
    <t>Fórmulas &gt; Comprobación de errores. Errores más comunes</t>
  </si>
  <si>
    <t>Fórmulas &gt; Mostrar Fórmulas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</si>
</sst>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Fill="1" applyBorder="1"/>
    <xf numFmtId="0" fontId="0" fillId="0" borderId="5" xfId="0" applyBorder="1"/>
    <xf numFmtId="9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2" borderId="0" xfId="0" applyFill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D22" sqref="D22"/>
    </sheetView>
  </sheetViews>
  <sheetFormatPr baseColWidth="10" defaultColWidth="8.88671875" defaultRowHeight="14.4" x14ac:dyDescent="0.3"/>
  <cols>
    <col min="1" max="1" width="18.21875" customWidth="1"/>
    <col min="2" max="2" width="9.77734375" customWidth="1"/>
    <col min="3" max="3" width="13.44140625" customWidth="1"/>
    <col min="4" max="4" width="10.44140625" customWidth="1"/>
    <col min="6" max="6" width="11.5546875" bestFit="1" customWidth="1"/>
  </cols>
  <sheetData>
    <row r="1" spans="1:6" ht="18" x14ac:dyDescent="0.35">
      <c r="A1" s="8" t="s">
        <v>14</v>
      </c>
      <c r="B1" s="8"/>
      <c r="C1" s="8"/>
      <c r="D1" s="8"/>
      <c r="E1" s="8"/>
    </row>
    <row r="2" spans="1:6" x14ac:dyDescent="0.3">
      <c r="B2" s="1" t="s">
        <v>0</v>
      </c>
      <c r="C2" s="1" t="s">
        <v>1</v>
      </c>
      <c r="D2" s="1" t="s">
        <v>15</v>
      </c>
      <c r="E2" s="1" t="s">
        <v>2</v>
      </c>
      <c r="F2" s="1" t="s">
        <v>19</v>
      </c>
    </row>
    <row r="3" spans="1:6" x14ac:dyDescent="0.3">
      <c r="A3" t="s">
        <v>3</v>
      </c>
      <c r="B3">
        <v>3</v>
      </c>
      <c r="C3" s="2">
        <v>1100</v>
      </c>
      <c r="D3">
        <f>B3*C3</f>
        <v>3300</v>
      </c>
      <c r="E3">
        <f>+B3*C3</f>
        <v>3300</v>
      </c>
      <c r="F3">
        <f>C3+D3</f>
        <v>4400</v>
      </c>
    </row>
    <row r="4" spans="1:6" x14ac:dyDescent="0.3">
      <c r="A4" t="s">
        <v>4</v>
      </c>
      <c r="B4">
        <v>7</v>
      </c>
      <c r="C4" s="2">
        <v>1250</v>
      </c>
      <c r="D4">
        <f t="shared" ref="D4:D13" si="0">B4*C4</f>
        <v>8750</v>
      </c>
      <c r="E4">
        <f t="shared" ref="E4:E13" si="1">+B4*C4</f>
        <v>8750</v>
      </c>
    </row>
    <row r="5" spans="1:6" x14ac:dyDescent="0.3">
      <c r="A5" t="s">
        <v>5</v>
      </c>
      <c r="B5">
        <v>5</v>
      </c>
      <c r="C5" s="2">
        <v>875</v>
      </c>
      <c r="D5">
        <f t="shared" si="0"/>
        <v>4375</v>
      </c>
      <c r="E5">
        <f t="shared" si="1"/>
        <v>4375</v>
      </c>
    </row>
    <row r="6" spans="1:6" x14ac:dyDescent="0.3">
      <c r="A6" t="s">
        <v>6</v>
      </c>
      <c r="B6">
        <v>9</v>
      </c>
      <c r="C6" s="2">
        <v>995</v>
      </c>
      <c r="D6">
        <f t="shared" si="0"/>
        <v>8955</v>
      </c>
      <c r="E6">
        <f t="shared" si="1"/>
        <v>8955</v>
      </c>
    </row>
    <row r="7" spans="1:6" x14ac:dyDescent="0.3">
      <c r="A7" t="s">
        <v>7</v>
      </c>
      <c r="B7">
        <v>2</v>
      </c>
      <c r="C7" s="2">
        <v>775</v>
      </c>
      <c r="D7">
        <f t="shared" si="0"/>
        <v>1550</v>
      </c>
      <c r="E7">
        <f t="shared" si="1"/>
        <v>1550</v>
      </c>
    </row>
    <row r="8" spans="1:6" x14ac:dyDescent="0.3">
      <c r="A8" t="s">
        <v>8</v>
      </c>
      <c r="B8">
        <v>4</v>
      </c>
      <c r="C8" s="2">
        <v>1785</v>
      </c>
      <c r="D8">
        <f t="shared" si="0"/>
        <v>7140</v>
      </c>
      <c r="E8">
        <f t="shared" si="1"/>
        <v>7140</v>
      </c>
    </row>
    <row r="9" spans="1:6" x14ac:dyDescent="0.3">
      <c r="A9" t="s">
        <v>9</v>
      </c>
      <c r="B9">
        <v>3</v>
      </c>
      <c r="C9" s="2">
        <v>1925</v>
      </c>
      <c r="D9">
        <f t="shared" si="0"/>
        <v>5775</v>
      </c>
      <c r="E9">
        <f t="shared" si="1"/>
        <v>5775</v>
      </c>
    </row>
    <row r="10" spans="1:6" x14ac:dyDescent="0.3">
      <c r="A10" t="s">
        <v>10</v>
      </c>
      <c r="B10">
        <v>6</v>
      </c>
      <c r="C10" s="2">
        <v>2145</v>
      </c>
      <c r="D10">
        <f t="shared" si="0"/>
        <v>12870</v>
      </c>
      <c r="E10">
        <f t="shared" si="1"/>
        <v>12870</v>
      </c>
    </row>
    <row r="11" spans="1:6" x14ac:dyDescent="0.3">
      <c r="A11" t="s">
        <v>11</v>
      </c>
      <c r="B11">
        <v>10</v>
      </c>
      <c r="C11" s="2">
        <v>2225</v>
      </c>
      <c r="D11">
        <f t="shared" si="0"/>
        <v>22250</v>
      </c>
      <c r="E11">
        <f t="shared" si="1"/>
        <v>22250</v>
      </c>
    </row>
    <row r="12" spans="1:6" x14ac:dyDescent="0.3">
      <c r="A12" t="s">
        <v>12</v>
      </c>
      <c r="B12">
        <v>8</v>
      </c>
      <c r="C12" s="2">
        <v>1900</v>
      </c>
      <c r="D12">
        <f t="shared" si="0"/>
        <v>15200</v>
      </c>
      <c r="E12">
        <f t="shared" si="1"/>
        <v>15200</v>
      </c>
    </row>
    <row r="13" spans="1:6" x14ac:dyDescent="0.3">
      <c r="A13" t="s">
        <v>13</v>
      </c>
      <c r="B13">
        <v>7</v>
      </c>
      <c r="C13" s="2">
        <v>999</v>
      </c>
      <c r="D13">
        <f t="shared" si="0"/>
        <v>6993</v>
      </c>
      <c r="E13">
        <f t="shared" si="1"/>
        <v>6993</v>
      </c>
    </row>
    <row r="15" spans="1:6" x14ac:dyDescent="0.3">
      <c r="A15" s="9" t="s">
        <v>20</v>
      </c>
      <c r="B15" s="9"/>
      <c r="C15" s="9"/>
      <c r="D15" s="9"/>
    </row>
    <row r="16" spans="1:6" x14ac:dyDescent="0.3">
      <c r="A16" s="7" t="s">
        <v>16</v>
      </c>
      <c r="B16" s="7"/>
      <c r="C16" s="7"/>
      <c r="D16" s="7"/>
      <c r="E16" s="7"/>
    </row>
    <row r="17" spans="1:5" x14ac:dyDescent="0.3">
      <c r="A17" s="7" t="s">
        <v>17</v>
      </c>
      <c r="B17" s="7"/>
      <c r="C17" s="7"/>
      <c r="D17" s="7"/>
      <c r="E17" s="7"/>
    </row>
    <row r="18" spans="1:5" x14ac:dyDescent="0.3">
      <c r="A18" s="7" t="s">
        <v>18</v>
      </c>
      <c r="B18" s="7"/>
      <c r="C18" s="7"/>
      <c r="D18" s="7"/>
      <c r="E18" s="7"/>
    </row>
    <row r="19" spans="1:5" x14ac:dyDescent="0.3">
      <c r="A19" s="7" t="s">
        <v>21</v>
      </c>
      <c r="B19" s="7"/>
      <c r="C19" s="7"/>
      <c r="D19" s="7"/>
      <c r="E19" s="7"/>
    </row>
  </sheetData>
  <mergeCells count="6">
    <mergeCell ref="A19:E19"/>
    <mergeCell ref="A1:E1"/>
    <mergeCell ref="A15:D15"/>
    <mergeCell ref="A16:E16"/>
    <mergeCell ref="A17:E17"/>
    <mergeCell ref="A18:E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1A87-EE3A-4595-872F-724064C90A95}">
  <dimension ref="A1:R23"/>
  <sheetViews>
    <sheetView topLeftCell="A6" workbookViewId="0">
      <selection activeCell="A18" sqref="A18:E22"/>
    </sheetView>
  </sheetViews>
  <sheetFormatPr baseColWidth="10" defaultRowHeight="14.4" x14ac:dyDescent="0.3"/>
  <cols>
    <col min="3" max="3" width="16.21875" customWidth="1"/>
    <col min="5" max="5" width="14.33203125" customWidth="1"/>
    <col min="6" max="6" width="12.5546875" customWidth="1"/>
  </cols>
  <sheetData>
    <row r="1" spans="1:9" ht="18" x14ac:dyDescent="0.35">
      <c r="A1" s="8" t="s">
        <v>14</v>
      </c>
      <c r="B1" s="8"/>
      <c r="C1" s="8"/>
      <c r="D1" s="8"/>
      <c r="E1" s="8"/>
      <c r="F1" s="8"/>
      <c r="H1" t="s">
        <v>25</v>
      </c>
      <c r="I1" s="3">
        <v>0.21</v>
      </c>
    </row>
    <row r="2" spans="1:9" x14ac:dyDescent="0.3">
      <c r="B2" s="1" t="s">
        <v>0</v>
      </c>
      <c r="C2" s="1" t="s">
        <v>1</v>
      </c>
      <c r="D2" s="1" t="s">
        <v>15</v>
      </c>
      <c r="E2" s="1" t="s">
        <v>25</v>
      </c>
      <c r="F2" s="1" t="s">
        <v>26</v>
      </c>
    </row>
    <row r="3" spans="1:9" x14ac:dyDescent="0.3">
      <c r="A3" t="s">
        <v>23</v>
      </c>
      <c r="B3">
        <v>3</v>
      </c>
      <c r="C3" s="2">
        <v>1100</v>
      </c>
      <c r="D3">
        <f>B3*C3</f>
        <v>3300</v>
      </c>
      <c r="E3" s="4">
        <f>D3*I$1</f>
        <v>693</v>
      </c>
      <c r="F3" s="4">
        <f>E3*J$1</f>
        <v>0</v>
      </c>
    </row>
    <row r="4" spans="1:9" x14ac:dyDescent="0.3">
      <c r="A4" t="s">
        <v>4</v>
      </c>
      <c r="B4">
        <v>7</v>
      </c>
      <c r="C4" s="2">
        <v>1250</v>
      </c>
      <c r="D4">
        <f t="shared" ref="D4:D13" si="0">B4*C4</f>
        <v>8750</v>
      </c>
      <c r="E4" s="4">
        <f t="shared" ref="E4:E13" si="1">D4*I$1</f>
        <v>1837.5</v>
      </c>
      <c r="F4" s="4">
        <f t="shared" ref="F4:F13" si="2">D4+E4</f>
        <v>10587.5</v>
      </c>
    </row>
    <row r="5" spans="1:9" x14ac:dyDescent="0.3">
      <c r="A5" t="s">
        <v>5</v>
      </c>
      <c r="B5">
        <v>5</v>
      </c>
      <c r="C5" s="2">
        <v>875</v>
      </c>
      <c r="D5">
        <f t="shared" si="0"/>
        <v>4375</v>
      </c>
      <c r="E5" s="4">
        <f t="shared" si="1"/>
        <v>918.75</v>
      </c>
      <c r="F5" s="4">
        <f t="shared" si="2"/>
        <v>5293.75</v>
      </c>
    </row>
    <row r="6" spans="1:9" x14ac:dyDescent="0.3">
      <c r="A6" t="s">
        <v>6</v>
      </c>
      <c r="B6">
        <v>9</v>
      </c>
      <c r="C6" s="2">
        <v>995</v>
      </c>
      <c r="D6">
        <f t="shared" si="0"/>
        <v>8955</v>
      </c>
      <c r="E6" s="4">
        <f t="shared" si="1"/>
        <v>1880.55</v>
      </c>
      <c r="F6" s="4">
        <f t="shared" si="2"/>
        <v>10835.55</v>
      </c>
    </row>
    <row r="7" spans="1:9" x14ac:dyDescent="0.3">
      <c r="A7" t="s">
        <v>7</v>
      </c>
      <c r="B7">
        <v>2</v>
      </c>
      <c r="C7" s="2">
        <v>775</v>
      </c>
      <c r="D7">
        <f t="shared" si="0"/>
        <v>1550</v>
      </c>
      <c r="E7" s="4">
        <f t="shared" si="1"/>
        <v>325.5</v>
      </c>
      <c r="F7" s="4">
        <f t="shared" si="2"/>
        <v>1875.5</v>
      </c>
    </row>
    <row r="8" spans="1:9" x14ac:dyDescent="0.3">
      <c r="A8" t="s">
        <v>8</v>
      </c>
      <c r="B8">
        <v>4</v>
      </c>
      <c r="C8" s="2">
        <v>1785</v>
      </c>
      <c r="D8">
        <f t="shared" si="0"/>
        <v>7140</v>
      </c>
      <c r="E8" s="4">
        <f t="shared" si="1"/>
        <v>1499.3999999999999</v>
      </c>
      <c r="F8" s="4">
        <f t="shared" si="2"/>
        <v>8639.4</v>
      </c>
    </row>
    <row r="9" spans="1:9" x14ac:dyDescent="0.3">
      <c r="A9" t="s">
        <v>9</v>
      </c>
      <c r="B9">
        <v>3</v>
      </c>
      <c r="C9" s="2">
        <v>1925</v>
      </c>
      <c r="D9">
        <f t="shared" si="0"/>
        <v>5775</v>
      </c>
      <c r="E9" s="4">
        <f t="shared" si="1"/>
        <v>1212.75</v>
      </c>
      <c r="F9" s="4">
        <f t="shared" si="2"/>
        <v>6987.75</v>
      </c>
    </row>
    <row r="10" spans="1:9" x14ac:dyDescent="0.3">
      <c r="A10" t="s">
        <v>10</v>
      </c>
      <c r="B10">
        <v>6</v>
      </c>
      <c r="C10" s="2">
        <v>2145</v>
      </c>
      <c r="D10">
        <f t="shared" si="0"/>
        <v>12870</v>
      </c>
      <c r="E10" s="4">
        <f t="shared" si="1"/>
        <v>2702.7</v>
      </c>
      <c r="F10" s="4">
        <f t="shared" si="2"/>
        <v>15572.7</v>
      </c>
    </row>
    <row r="11" spans="1:9" x14ac:dyDescent="0.3">
      <c r="A11" t="s">
        <v>11</v>
      </c>
      <c r="B11">
        <v>10</v>
      </c>
      <c r="C11" s="2">
        <v>2225</v>
      </c>
      <c r="D11">
        <f t="shared" si="0"/>
        <v>22250</v>
      </c>
      <c r="E11" s="4">
        <f t="shared" si="1"/>
        <v>4672.5</v>
      </c>
      <c r="F11" s="4">
        <f t="shared" si="2"/>
        <v>26922.5</v>
      </c>
    </row>
    <row r="12" spans="1:9" x14ac:dyDescent="0.3">
      <c r="A12" t="s">
        <v>12</v>
      </c>
      <c r="B12">
        <v>8</v>
      </c>
      <c r="C12" s="2">
        <v>1900</v>
      </c>
      <c r="D12">
        <f t="shared" si="0"/>
        <v>15200</v>
      </c>
      <c r="E12" s="4">
        <f t="shared" si="1"/>
        <v>3192</v>
      </c>
      <c r="F12" s="4">
        <f t="shared" si="2"/>
        <v>18392</v>
      </c>
    </row>
    <row r="13" spans="1:9" x14ac:dyDescent="0.3">
      <c r="A13" t="s">
        <v>13</v>
      </c>
      <c r="B13">
        <v>7</v>
      </c>
      <c r="C13" s="2">
        <v>999</v>
      </c>
      <c r="D13">
        <f t="shared" si="0"/>
        <v>6993</v>
      </c>
      <c r="E13" s="4">
        <f t="shared" si="1"/>
        <v>1468.53</v>
      </c>
      <c r="F13" s="4">
        <f t="shared" si="2"/>
        <v>8461.5300000000007</v>
      </c>
    </row>
    <row r="18" spans="1:18" x14ac:dyDescent="0.3">
      <c r="A18" s="9" t="s">
        <v>22</v>
      </c>
      <c r="B18" s="9"/>
      <c r="C18" s="9"/>
      <c r="D18" s="9"/>
      <c r="E18" s="9"/>
      <c r="H18" t="s">
        <v>23</v>
      </c>
      <c r="I18" t="s">
        <v>4</v>
      </c>
      <c r="J18" t="s">
        <v>5</v>
      </c>
      <c r="K18" t="s">
        <v>6</v>
      </c>
      <c r="L18" t="s">
        <v>7</v>
      </c>
      <c r="M18" t="s">
        <v>8</v>
      </c>
      <c r="N18" t="s">
        <v>9</v>
      </c>
      <c r="O18" t="s">
        <v>10</v>
      </c>
      <c r="P18" t="s">
        <v>11</v>
      </c>
      <c r="Q18" t="s">
        <v>12</v>
      </c>
      <c r="R18" t="s">
        <v>13</v>
      </c>
    </row>
    <row r="19" spans="1:18" x14ac:dyDescent="0.3">
      <c r="A19" s="7" t="s">
        <v>24</v>
      </c>
      <c r="B19" s="7"/>
      <c r="C19" s="7"/>
      <c r="D19" s="7"/>
      <c r="E19" s="7"/>
      <c r="F19" t="s">
        <v>45</v>
      </c>
      <c r="G19" s="1" t="s">
        <v>0</v>
      </c>
      <c r="H19">
        <v>3</v>
      </c>
      <c r="I19">
        <v>7</v>
      </c>
      <c r="J19">
        <v>5</v>
      </c>
      <c r="K19">
        <v>9</v>
      </c>
      <c r="L19">
        <v>2</v>
      </c>
      <c r="M19">
        <v>4</v>
      </c>
      <c r="N19">
        <v>3</v>
      </c>
      <c r="O19">
        <v>6</v>
      </c>
      <c r="P19">
        <v>10</v>
      </c>
      <c r="Q19">
        <v>8</v>
      </c>
      <c r="R19">
        <v>7</v>
      </c>
    </row>
    <row r="20" spans="1:18" x14ac:dyDescent="0.3">
      <c r="A20" s="7" t="s">
        <v>29</v>
      </c>
      <c r="B20" s="7"/>
      <c r="C20" s="7"/>
      <c r="D20" s="7"/>
      <c r="E20" s="7"/>
      <c r="G20" s="1" t="s">
        <v>1</v>
      </c>
      <c r="H20" s="2">
        <v>1100</v>
      </c>
      <c r="I20" s="2">
        <v>1250</v>
      </c>
      <c r="J20" s="2">
        <v>875</v>
      </c>
      <c r="K20" s="2">
        <v>995</v>
      </c>
      <c r="L20" s="2">
        <v>775</v>
      </c>
      <c r="M20" s="2">
        <v>1785</v>
      </c>
      <c r="N20" s="2">
        <v>1925</v>
      </c>
      <c r="O20" s="2">
        <v>2145</v>
      </c>
      <c r="P20" s="2">
        <v>2225</v>
      </c>
      <c r="Q20" s="2">
        <v>1900</v>
      </c>
      <c r="R20" s="2">
        <v>999</v>
      </c>
    </row>
    <row r="21" spans="1:18" x14ac:dyDescent="0.3">
      <c r="A21" s="7" t="s">
        <v>27</v>
      </c>
      <c r="B21" s="7"/>
      <c r="C21" s="7"/>
      <c r="D21" s="7"/>
      <c r="E21" s="7"/>
      <c r="G21" s="1" t="s">
        <v>15</v>
      </c>
      <c r="H21">
        <f t="shared" ref="H21:R21" si="3">H19*H20</f>
        <v>3300</v>
      </c>
      <c r="I21">
        <f t="shared" si="3"/>
        <v>8750</v>
      </c>
      <c r="J21">
        <f t="shared" si="3"/>
        <v>4375</v>
      </c>
      <c r="K21">
        <f t="shared" si="3"/>
        <v>8955</v>
      </c>
      <c r="L21">
        <f t="shared" si="3"/>
        <v>1550</v>
      </c>
      <c r="M21">
        <f t="shared" si="3"/>
        <v>7140</v>
      </c>
      <c r="N21">
        <f t="shared" si="3"/>
        <v>5775</v>
      </c>
      <c r="O21">
        <f t="shared" si="3"/>
        <v>12870</v>
      </c>
      <c r="P21">
        <f t="shared" si="3"/>
        <v>22250</v>
      </c>
      <c r="Q21">
        <f t="shared" si="3"/>
        <v>15200</v>
      </c>
      <c r="R21">
        <f t="shared" si="3"/>
        <v>6993</v>
      </c>
    </row>
    <row r="22" spans="1:18" x14ac:dyDescent="0.3">
      <c r="A22" s="7" t="s">
        <v>28</v>
      </c>
      <c r="B22" s="7"/>
      <c r="C22" s="7"/>
      <c r="D22" s="7"/>
      <c r="E22" s="7"/>
      <c r="G22" s="1" t="s">
        <v>25</v>
      </c>
      <c r="H22">
        <f>H21*$I1</f>
        <v>693</v>
      </c>
      <c r="I22">
        <f t="shared" ref="I22:P22" si="4">I21*$I1</f>
        <v>1837.5</v>
      </c>
      <c r="J22">
        <f t="shared" si="4"/>
        <v>918.75</v>
      </c>
      <c r="K22">
        <f t="shared" si="4"/>
        <v>1880.55</v>
      </c>
      <c r="L22">
        <f t="shared" si="4"/>
        <v>325.5</v>
      </c>
      <c r="M22">
        <f t="shared" si="4"/>
        <v>1499.3999999999999</v>
      </c>
      <c r="N22">
        <f t="shared" si="4"/>
        <v>1212.75</v>
      </c>
      <c r="O22">
        <f t="shared" si="4"/>
        <v>2702.7</v>
      </c>
      <c r="P22">
        <f t="shared" si="4"/>
        <v>4672.5</v>
      </c>
      <c r="Q22">
        <f>Q21*$I1</f>
        <v>3192</v>
      </c>
      <c r="R22">
        <f>R21*$I1</f>
        <v>1468.53</v>
      </c>
    </row>
    <row r="23" spans="1:18" x14ac:dyDescent="0.3">
      <c r="G23" s="1" t="s">
        <v>26</v>
      </c>
    </row>
  </sheetData>
  <mergeCells count="6">
    <mergeCell ref="A22:E22"/>
    <mergeCell ref="A18:E18"/>
    <mergeCell ref="A1:F1"/>
    <mergeCell ref="A19:E19"/>
    <mergeCell ref="A20:E20"/>
    <mergeCell ref="A21:E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CD40-2C72-41DE-9CFC-6EBACBC99A40}">
  <dimension ref="A1:G19"/>
  <sheetViews>
    <sheetView workbookViewId="0">
      <selection activeCell="G20" sqref="G20"/>
    </sheetView>
  </sheetViews>
  <sheetFormatPr baseColWidth="10" defaultRowHeight="14.4" x14ac:dyDescent="0.3"/>
  <sheetData>
    <row r="1" spans="1:7" ht="18.600000000000001" thickBot="1" x14ac:dyDescent="0.4">
      <c r="A1" s="10" t="s">
        <v>30</v>
      </c>
      <c r="B1" s="10"/>
      <c r="C1" s="10"/>
      <c r="D1" s="10"/>
      <c r="E1" s="10"/>
      <c r="F1" s="10"/>
      <c r="G1" s="10"/>
    </row>
    <row r="2" spans="1:7" ht="15" thickTop="1" x14ac:dyDescent="0.3">
      <c r="B2" s="1"/>
      <c r="C2" s="1"/>
      <c r="D2" s="1"/>
      <c r="E2" s="1"/>
      <c r="F2" s="1"/>
    </row>
    <row r="3" spans="1:7" x14ac:dyDescent="0.3">
      <c r="A3" t="s">
        <v>31</v>
      </c>
      <c r="B3" s="3">
        <v>0.04</v>
      </c>
      <c r="C3" s="3">
        <v>0.01</v>
      </c>
      <c r="D3" s="3">
        <v>0.03</v>
      </c>
      <c r="E3" s="3">
        <v>0.02</v>
      </c>
      <c r="F3" s="3">
        <v>0.05</v>
      </c>
      <c r="G3" s="3">
        <v>0</v>
      </c>
    </row>
    <row r="4" spans="1:7" x14ac:dyDescent="0.3">
      <c r="C4" s="2"/>
      <c r="E4" s="4"/>
      <c r="F4" s="4"/>
    </row>
    <row r="5" spans="1:7" x14ac:dyDescent="0.3">
      <c r="A5" t="s">
        <v>32</v>
      </c>
      <c r="B5" t="s">
        <v>33</v>
      </c>
      <c r="C5" s="2" t="s">
        <v>34</v>
      </c>
      <c r="D5" s="2" t="s">
        <v>35</v>
      </c>
      <c r="E5" s="4" t="s">
        <v>36</v>
      </c>
      <c r="F5" s="4" t="s">
        <v>37</v>
      </c>
      <c r="G5" s="2" t="s">
        <v>38</v>
      </c>
    </row>
    <row r="6" spans="1:7" x14ac:dyDescent="0.3">
      <c r="A6" t="s">
        <v>39</v>
      </c>
      <c r="B6" s="4">
        <v>482</v>
      </c>
      <c r="C6" s="4">
        <v>12323</v>
      </c>
      <c r="D6" s="4">
        <v>12393</v>
      </c>
      <c r="E6" s="4">
        <v>12393</v>
      </c>
      <c r="F6" s="4">
        <v>12393</v>
      </c>
      <c r="G6" s="4">
        <v>12393</v>
      </c>
    </row>
    <row r="7" spans="1:7" x14ac:dyDescent="0.3">
      <c r="A7" t="s">
        <v>40</v>
      </c>
      <c r="B7" s="4">
        <v>323</v>
      </c>
      <c r="C7" s="4">
        <v>5434</v>
      </c>
      <c r="D7" s="4">
        <v>43434</v>
      </c>
      <c r="E7" s="4">
        <v>34234</v>
      </c>
      <c r="F7" s="4">
        <v>234234</v>
      </c>
      <c r="G7" s="4">
        <v>234</v>
      </c>
    </row>
    <row r="8" spans="1:7" x14ac:dyDescent="0.3">
      <c r="A8" t="s">
        <v>41</v>
      </c>
      <c r="B8" s="4">
        <v>3423</v>
      </c>
      <c r="C8" s="4">
        <v>3432</v>
      </c>
      <c r="D8" s="4">
        <v>349</v>
      </c>
      <c r="E8" s="4">
        <v>2323</v>
      </c>
      <c r="F8" s="4">
        <v>5454</v>
      </c>
      <c r="G8" s="4">
        <v>12233</v>
      </c>
    </row>
    <row r="9" spans="1:7" x14ac:dyDescent="0.3">
      <c r="A9" t="s">
        <v>42</v>
      </c>
      <c r="B9" s="4">
        <v>9384</v>
      </c>
      <c r="C9" s="4">
        <v>73434</v>
      </c>
      <c r="D9" s="4">
        <v>9834</v>
      </c>
      <c r="E9" s="4">
        <v>8734</v>
      </c>
      <c r="F9" s="4">
        <v>834</v>
      </c>
      <c r="G9" s="4">
        <v>343</v>
      </c>
    </row>
    <row r="10" spans="1:7" x14ac:dyDescent="0.3">
      <c r="C10" s="2"/>
    </row>
    <row r="11" spans="1:7" x14ac:dyDescent="0.3">
      <c r="A11" t="s">
        <v>43</v>
      </c>
      <c r="B11" t="s">
        <v>33</v>
      </c>
      <c r="C11" s="2" t="s">
        <v>34</v>
      </c>
      <c r="D11" s="2" t="s">
        <v>35</v>
      </c>
      <c r="E11" s="4" t="s">
        <v>36</v>
      </c>
      <c r="F11" s="4" t="s">
        <v>37</v>
      </c>
      <c r="G11" s="2" t="s">
        <v>38</v>
      </c>
    </row>
    <row r="12" spans="1:7" x14ac:dyDescent="0.3">
      <c r="A12" t="s">
        <v>39</v>
      </c>
      <c r="B12" s="4">
        <f>B6*B$3</f>
        <v>19.28</v>
      </c>
      <c r="C12" s="4">
        <f t="shared" ref="C12:G12" si="0">C6*C$3</f>
        <v>123.23</v>
      </c>
      <c r="D12" s="4">
        <f t="shared" si="0"/>
        <v>371.78999999999996</v>
      </c>
      <c r="E12" s="4">
        <f t="shared" si="0"/>
        <v>247.86</v>
      </c>
      <c r="F12" s="4">
        <f t="shared" si="0"/>
        <v>619.65000000000009</v>
      </c>
      <c r="G12" s="4">
        <f t="shared" si="0"/>
        <v>0</v>
      </c>
    </row>
    <row r="13" spans="1:7" x14ac:dyDescent="0.3">
      <c r="A13" t="s">
        <v>40</v>
      </c>
      <c r="B13" s="4">
        <f t="shared" ref="B13:G15" si="1">B7*B$3</f>
        <v>12.92</v>
      </c>
      <c r="C13" s="4">
        <f t="shared" si="1"/>
        <v>54.34</v>
      </c>
      <c r="D13" s="4">
        <f t="shared" si="1"/>
        <v>1303.02</v>
      </c>
      <c r="E13" s="4">
        <f t="shared" si="1"/>
        <v>684.68000000000006</v>
      </c>
      <c r="F13" s="4">
        <f t="shared" si="1"/>
        <v>11711.7</v>
      </c>
      <c r="G13" s="4">
        <f t="shared" si="1"/>
        <v>0</v>
      </c>
    </row>
    <row r="14" spans="1:7" x14ac:dyDescent="0.3">
      <c r="A14" t="s">
        <v>41</v>
      </c>
      <c r="B14" s="4">
        <f t="shared" si="1"/>
        <v>136.92000000000002</v>
      </c>
      <c r="C14" s="4">
        <f t="shared" si="1"/>
        <v>34.32</v>
      </c>
      <c r="D14" s="4">
        <f t="shared" si="1"/>
        <v>10.469999999999999</v>
      </c>
      <c r="E14" s="4">
        <f t="shared" si="1"/>
        <v>46.46</v>
      </c>
      <c r="F14" s="4">
        <f t="shared" si="1"/>
        <v>272.7</v>
      </c>
      <c r="G14" s="4">
        <f t="shared" si="1"/>
        <v>0</v>
      </c>
    </row>
    <row r="15" spans="1:7" x14ac:dyDescent="0.3">
      <c r="A15" t="s">
        <v>42</v>
      </c>
      <c r="B15" s="4">
        <f t="shared" si="1"/>
        <v>375.36</v>
      </c>
      <c r="C15" s="4">
        <f t="shared" si="1"/>
        <v>734.34</v>
      </c>
      <c r="D15" s="4">
        <f t="shared" si="1"/>
        <v>295.02</v>
      </c>
      <c r="E15" s="4">
        <f t="shared" si="1"/>
        <v>174.68</v>
      </c>
      <c r="F15" s="4">
        <f t="shared" si="1"/>
        <v>41.7</v>
      </c>
      <c r="G15" s="4">
        <f t="shared" si="1"/>
        <v>0</v>
      </c>
    </row>
    <row r="18" spans="1:5" x14ac:dyDescent="0.3">
      <c r="A18" s="7" t="s">
        <v>44</v>
      </c>
      <c r="B18" s="7"/>
      <c r="C18" s="7"/>
      <c r="D18" s="7"/>
      <c r="E18" s="7"/>
    </row>
    <row r="19" spans="1:5" x14ac:dyDescent="0.3">
      <c r="A19" s="7" t="s">
        <v>29</v>
      </c>
      <c r="B19" s="7"/>
      <c r="C19" s="7"/>
      <c r="D19" s="7"/>
      <c r="E19" s="7"/>
    </row>
  </sheetData>
  <mergeCells count="3">
    <mergeCell ref="A1:G1"/>
    <mergeCell ref="A18:E18"/>
    <mergeCell ref="A19:E1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0CA4-777C-4563-9FEB-D94A9EBAC240}">
  <dimension ref="A1:I20"/>
  <sheetViews>
    <sheetView workbookViewId="0">
      <selection activeCell="A15" sqref="A15:H20"/>
    </sheetView>
  </sheetViews>
  <sheetFormatPr baseColWidth="10" defaultRowHeight="14.4" x14ac:dyDescent="0.3"/>
  <sheetData>
    <row r="1" spans="1:9" ht="15" thickBot="1" x14ac:dyDescent="0.35">
      <c r="A1" s="11" t="s">
        <v>46</v>
      </c>
      <c r="B1" s="11"/>
      <c r="C1" s="11"/>
      <c r="D1" s="11"/>
      <c r="F1" s="11" t="s">
        <v>46</v>
      </c>
      <c r="G1" s="11"/>
      <c r="I1" s="6"/>
    </row>
    <row r="2" spans="1:9" x14ac:dyDescent="0.3">
      <c r="A2" t="s">
        <v>47</v>
      </c>
      <c r="B2" t="s">
        <v>48</v>
      </c>
      <c r="C2" t="s">
        <v>49</v>
      </c>
      <c r="D2" t="s">
        <v>50</v>
      </c>
      <c r="F2" t="s">
        <v>47</v>
      </c>
      <c r="G2" t="s">
        <v>50</v>
      </c>
    </row>
    <row r="3" spans="1:9" x14ac:dyDescent="0.3">
      <c r="A3" t="s">
        <v>51</v>
      </c>
      <c r="B3" s="4">
        <v>1850</v>
      </c>
      <c r="C3" s="4">
        <v>300</v>
      </c>
      <c r="D3" s="4">
        <f>$B$3+$C$3</f>
        <v>2150</v>
      </c>
      <c r="F3" t="s">
        <v>51</v>
      </c>
      <c r="G3" s="4">
        <f>$B$3+$C$3</f>
        <v>2150</v>
      </c>
    </row>
    <row r="4" spans="1:9" x14ac:dyDescent="0.3">
      <c r="A4" t="s">
        <v>41</v>
      </c>
      <c r="B4" s="4">
        <v>1700</v>
      </c>
      <c r="C4" s="4">
        <v>350</v>
      </c>
      <c r="D4" s="4">
        <f>$B$4+$C$4</f>
        <v>2050</v>
      </c>
      <c r="F4" t="s">
        <v>41</v>
      </c>
      <c r="G4" s="4">
        <f>$B$4+$C$4</f>
        <v>2050</v>
      </c>
    </row>
    <row r="5" spans="1:9" x14ac:dyDescent="0.3">
      <c r="A5" t="s">
        <v>40</v>
      </c>
      <c r="B5" s="4">
        <v>1550</v>
      </c>
      <c r="C5" s="4">
        <v>375</v>
      </c>
      <c r="D5" s="4">
        <f>$B$5+$C$5</f>
        <v>1925</v>
      </c>
      <c r="F5" t="s">
        <v>40</v>
      </c>
      <c r="G5" s="4">
        <f>$B$5+$C$5</f>
        <v>1925</v>
      </c>
    </row>
    <row r="7" spans="1:9" ht="15" thickBot="1" x14ac:dyDescent="0.35">
      <c r="A7" s="12" t="s">
        <v>52</v>
      </c>
      <c r="B7" s="12"/>
      <c r="C7" s="12"/>
      <c r="D7" s="12"/>
    </row>
    <row r="8" spans="1:9" ht="15" thickTop="1" x14ac:dyDescent="0.3">
      <c r="A8" t="s">
        <v>47</v>
      </c>
      <c r="B8" t="s">
        <v>48</v>
      </c>
      <c r="C8" t="s">
        <v>49</v>
      </c>
      <c r="D8" t="s">
        <v>50</v>
      </c>
    </row>
    <row r="9" spans="1:9" x14ac:dyDescent="0.3">
      <c r="A9" t="s">
        <v>51</v>
      </c>
      <c r="B9" s="4">
        <v>1900</v>
      </c>
      <c r="C9" s="4">
        <v>260</v>
      </c>
      <c r="D9" s="4">
        <f>B9+C9</f>
        <v>2160</v>
      </c>
    </row>
    <row r="10" spans="1:9" x14ac:dyDescent="0.3">
      <c r="A10" t="s">
        <v>41</v>
      </c>
      <c r="B10" s="4">
        <v>1200</v>
      </c>
      <c r="C10" s="4">
        <v>450</v>
      </c>
      <c r="D10" s="4"/>
    </row>
    <row r="11" spans="1:9" x14ac:dyDescent="0.3">
      <c r="A11" t="s">
        <v>40</v>
      </c>
      <c r="B11" s="4">
        <v>2150</v>
      </c>
      <c r="C11" s="4">
        <v>500</v>
      </c>
      <c r="D11" s="4"/>
    </row>
    <row r="14" spans="1:9" x14ac:dyDescent="0.3">
      <c r="A14" s="9"/>
      <c r="B14" s="9"/>
      <c r="C14" s="9"/>
      <c r="D14" s="9"/>
      <c r="E14" s="9"/>
    </row>
    <row r="15" spans="1:9" x14ac:dyDescent="0.3">
      <c r="A15" s="7" t="s">
        <v>53</v>
      </c>
      <c r="B15" s="7"/>
      <c r="C15" s="7"/>
      <c r="D15" s="7"/>
      <c r="E15" s="7"/>
      <c r="F15" s="7"/>
      <c r="G15" s="7"/>
      <c r="H15" s="7"/>
    </row>
    <row r="16" spans="1:9" x14ac:dyDescent="0.3">
      <c r="A16" s="7" t="s">
        <v>55</v>
      </c>
      <c r="B16" s="7"/>
      <c r="C16" s="7"/>
      <c r="D16" s="7"/>
      <c r="E16" s="7"/>
      <c r="F16" s="7"/>
      <c r="G16" s="7"/>
      <c r="H16" s="7"/>
    </row>
    <row r="17" spans="1:8" x14ac:dyDescent="0.3">
      <c r="A17" s="7" t="s">
        <v>54</v>
      </c>
      <c r="B17" s="7"/>
      <c r="C17" s="7"/>
      <c r="D17" s="7"/>
      <c r="E17" s="7"/>
      <c r="F17" s="7"/>
      <c r="G17" s="7"/>
      <c r="H17" s="7"/>
    </row>
    <row r="18" spans="1:8" x14ac:dyDescent="0.3">
      <c r="A18" s="7" t="s">
        <v>56</v>
      </c>
      <c r="B18" s="7"/>
      <c r="C18" s="7"/>
      <c r="D18" s="7"/>
      <c r="E18" s="7"/>
      <c r="F18" s="7"/>
      <c r="G18" s="7"/>
      <c r="H18" s="7"/>
    </row>
    <row r="19" spans="1:8" x14ac:dyDescent="0.3">
      <c r="A19" s="7" t="s">
        <v>57</v>
      </c>
      <c r="B19" s="7"/>
      <c r="C19" s="7"/>
      <c r="D19" s="7"/>
      <c r="E19" s="7"/>
      <c r="F19" s="7"/>
      <c r="G19" s="7"/>
      <c r="H19" s="7"/>
    </row>
    <row r="20" spans="1:8" x14ac:dyDescent="0.3">
      <c r="A20" s="7" t="s">
        <v>58</v>
      </c>
      <c r="B20" s="7"/>
      <c r="C20" s="7"/>
      <c r="D20" s="7"/>
      <c r="E20" s="7"/>
      <c r="F20" s="7"/>
      <c r="G20" s="7"/>
      <c r="H20" s="7"/>
    </row>
  </sheetData>
  <mergeCells count="10">
    <mergeCell ref="A19:H19"/>
    <mergeCell ref="A20:H20"/>
    <mergeCell ref="F1:G1"/>
    <mergeCell ref="A7:D7"/>
    <mergeCell ref="A15:H15"/>
    <mergeCell ref="A16:H16"/>
    <mergeCell ref="A17:H17"/>
    <mergeCell ref="A18:H18"/>
    <mergeCell ref="A14:E14"/>
    <mergeCell ref="A1:D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1267-29F4-434E-93DE-9C270CC5F9C7}">
  <dimension ref="A1:I21"/>
  <sheetViews>
    <sheetView workbookViewId="0">
      <selection sqref="A1:I21"/>
    </sheetView>
  </sheetViews>
  <sheetFormatPr baseColWidth="10" defaultRowHeight="14.4" x14ac:dyDescent="0.3"/>
  <cols>
    <col min="1" max="1" width="27.77734375" customWidth="1"/>
    <col min="3" max="3" width="13" customWidth="1"/>
  </cols>
  <sheetData>
    <row r="1" spans="1:9" x14ac:dyDescent="0.3">
      <c r="A1" t="s">
        <v>59</v>
      </c>
    </row>
    <row r="2" spans="1:9" x14ac:dyDescent="0.3">
      <c r="A2" t="s">
        <v>60</v>
      </c>
      <c r="H2" s="17" t="s">
        <v>67</v>
      </c>
    </row>
    <row r="3" spans="1:9" x14ac:dyDescent="0.3">
      <c r="A3" t="s">
        <v>61</v>
      </c>
      <c r="H3" s="16" t="s">
        <v>71</v>
      </c>
      <c r="I3" s="15">
        <v>0.05</v>
      </c>
    </row>
    <row r="4" spans="1:9" x14ac:dyDescent="0.3">
      <c r="A4" t="s">
        <v>62</v>
      </c>
      <c r="H4" s="14" t="s">
        <v>25</v>
      </c>
      <c r="I4" s="15">
        <v>0.21</v>
      </c>
    </row>
    <row r="6" spans="1:9" ht="15" thickBot="1" x14ac:dyDescent="0.35"/>
    <row r="7" spans="1:9" ht="15" thickTop="1" x14ac:dyDescent="0.3">
      <c r="A7" s="19" t="s">
        <v>63</v>
      </c>
      <c r="B7" s="19" t="s">
        <v>64</v>
      </c>
      <c r="C7" s="19" t="s">
        <v>65</v>
      </c>
      <c r="D7" s="19" t="s">
        <v>66</v>
      </c>
      <c r="E7" s="19" t="s">
        <v>25</v>
      </c>
      <c r="F7" s="19" t="s">
        <v>67</v>
      </c>
    </row>
    <row r="8" spans="1:9" x14ac:dyDescent="0.3">
      <c r="A8" s="13" t="s">
        <v>68</v>
      </c>
      <c r="B8">
        <v>3</v>
      </c>
      <c r="C8">
        <v>1021.72</v>
      </c>
      <c r="D8">
        <f>C8*I$3</f>
        <v>51.086000000000006</v>
      </c>
      <c r="E8">
        <f>C8*I$4</f>
        <v>214.56119999999999</v>
      </c>
      <c r="F8">
        <f>(C8-D8+E8)*B8</f>
        <v>3555.5856000000003</v>
      </c>
    </row>
    <row r="9" spans="1:9" x14ac:dyDescent="0.3">
      <c r="A9" s="13" t="s">
        <v>69</v>
      </c>
      <c r="B9">
        <v>1</v>
      </c>
      <c r="C9">
        <v>414.7</v>
      </c>
      <c r="D9">
        <f t="shared" ref="D9:D11" si="0">C9*I$3</f>
        <v>20.734999999999999</v>
      </c>
      <c r="E9">
        <f t="shared" ref="E9:E11" si="1">C9*I$4</f>
        <v>87.086999999999989</v>
      </c>
      <c r="F9">
        <f t="shared" ref="F9:F11" si="2">(C9-D9+E9)*B9</f>
        <v>481.05199999999996</v>
      </c>
    </row>
    <row r="10" spans="1:9" x14ac:dyDescent="0.3">
      <c r="A10" s="13" t="s">
        <v>70</v>
      </c>
      <c r="B10">
        <v>5</v>
      </c>
      <c r="C10">
        <v>180.3</v>
      </c>
      <c r="D10">
        <f t="shared" si="0"/>
        <v>9.0150000000000006</v>
      </c>
      <c r="E10">
        <f t="shared" si="1"/>
        <v>37.863</v>
      </c>
      <c r="F10">
        <f t="shared" si="2"/>
        <v>1045.7400000000002</v>
      </c>
    </row>
    <row r="11" spans="1:9" x14ac:dyDescent="0.3">
      <c r="A11" s="13" t="s">
        <v>72</v>
      </c>
      <c r="B11">
        <v>8</v>
      </c>
      <c r="C11">
        <v>5.99</v>
      </c>
      <c r="D11">
        <f t="shared" si="0"/>
        <v>0.29950000000000004</v>
      </c>
      <c r="E11">
        <f t="shared" si="1"/>
        <v>1.2579</v>
      </c>
      <c r="F11">
        <f t="shared" si="2"/>
        <v>55.587200000000003</v>
      </c>
    </row>
    <row r="12" spans="1:9" x14ac:dyDescent="0.3">
      <c r="F12" s="18">
        <f>SUM(F8:F11)</f>
        <v>5137.9648000000007</v>
      </c>
    </row>
    <row r="16" spans="1:9" x14ac:dyDescent="0.3">
      <c r="A16" s="7" t="s">
        <v>73</v>
      </c>
      <c r="B16" s="7"/>
      <c r="C16" s="7"/>
      <c r="D16" s="7"/>
      <c r="E16" s="7"/>
      <c r="F16" s="7"/>
      <c r="G16" s="7"/>
      <c r="H16" s="7"/>
    </row>
    <row r="17" spans="1:8" x14ac:dyDescent="0.3">
      <c r="A17" s="7" t="s">
        <v>74</v>
      </c>
      <c r="B17" s="7"/>
      <c r="C17" s="7"/>
      <c r="D17" s="7"/>
      <c r="E17" s="7"/>
      <c r="F17" s="7"/>
      <c r="G17" s="7"/>
      <c r="H17" s="7"/>
    </row>
    <row r="18" spans="1:8" x14ac:dyDescent="0.3">
      <c r="A18" s="7" t="s">
        <v>75</v>
      </c>
      <c r="B18" s="7"/>
      <c r="C18" s="7"/>
      <c r="D18" s="7"/>
      <c r="E18" s="7"/>
      <c r="F18" s="7"/>
      <c r="G18" s="7"/>
      <c r="H18" s="7"/>
    </row>
    <row r="19" spans="1:8" x14ac:dyDescent="0.3">
      <c r="A19" s="7" t="s">
        <v>76</v>
      </c>
      <c r="B19" s="7"/>
      <c r="C19" s="7"/>
      <c r="D19" s="7"/>
      <c r="E19" s="7"/>
      <c r="F19" s="7"/>
      <c r="G19" s="7"/>
      <c r="H19" s="7"/>
    </row>
    <row r="20" spans="1:8" x14ac:dyDescent="0.3">
      <c r="A20" s="7" t="s">
        <v>77</v>
      </c>
      <c r="B20" s="7"/>
      <c r="C20" s="7"/>
      <c r="D20" s="7"/>
      <c r="E20" s="7"/>
      <c r="F20" s="7"/>
      <c r="G20" s="7"/>
      <c r="H20" s="7"/>
    </row>
    <row r="21" spans="1:8" x14ac:dyDescent="0.3">
      <c r="A21" s="7" t="s">
        <v>78</v>
      </c>
      <c r="B21" s="7"/>
      <c r="C21" s="7"/>
      <c r="D21" s="7"/>
      <c r="E21" s="7"/>
      <c r="F21" s="7"/>
      <c r="G21" s="7"/>
      <c r="H21" s="7"/>
    </row>
  </sheetData>
  <mergeCells count="6">
    <mergeCell ref="A16:H16"/>
    <mergeCell ref="A17:H17"/>
    <mergeCell ref="A18:H18"/>
    <mergeCell ref="A19:H19"/>
    <mergeCell ref="A20:H20"/>
    <mergeCell ref="A21:H21"/>
  </mergeCells>
  <pageMargins left="0.7" right="0.7" top="0.75" bottom="0.75" header="0.3" footer="0.3"/>
  <pageSetup paperSize="9" orientation="portrait" r:id="rId1"/>
  <cellWatches>
    <cellWatch r="F12"/>
  </cellWatch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491EC-5E86-4181-9236-B43825653B02}">
  <dimension ref="A1:I21"/>
  <sheetViews>
    <sheetView tabSelected="1" workbookViewId="0">
      <selection activeCell="H12" sqref="H12"/>
    </sheetView>
  </sheetViews>
  <sheetFormatPr baseColWidth="10" defaultRowHeight="14.4" x14ac:dyDescent="0.3"/>
  <sheetData>
    <row r="1" spans="1:9" x14ac:dyDescent="0.3">
      <c r="A1" t="s">
        <v>59</v>
      </c>
    </row>
    <row r="2" spans="1:9" x14ac:dyDescent="0.3">
      <c r="A2" t="s">
        <v>60</v>
      </c>
      <c r="H2" s="14" t="s">
        <v>67</v>
      </c>
      <c r="I2" s="14">
        <f>SUM(F8:F11)</f>
        <v>5137.9648000000007</v>
      </c>
    </row>
    <row r="3" spans="1:9" x14ac:dyDescent="0.3">
      <c r="A3" t="s">
        <v>61</v>
      </c>
      <c r="H3" s="16" t="s">
        <v>71</v>
      </c>
      <c r="I3" s="15">
        <v>0.05</v>
      </c>
    </row>
    <row r="4" spans="1:9" x14ac:dyDescent="0.3">
      <c r="A4" t="s">
        <v>62</v>
      </c>
      <c r="H4" s="14" t="s">
        <v>25</v>
      </c>
      <c r="I4" s="15">
        <v>0.21</v>
      </c>
    </row>
    <row r="6" spans="1:9" ht="15" thickBot="1" x14ac:dyDescent="0.35"/>
    <row r="7" spans="1:9" ht="15" thickTop="1" x14ac:dyDescent="0.3">
      <c r="A7" s="19" t="s">
        <v>63</v>
      </c>
      <c r="B7" s="19" t="s">
        <v>64</v>
      </c>
      <c r="C7" s="19" t="s">
        <v>65</v>
      </c>
      <c r="D7" s="19" t="s">
        <v>66</v>
      </c>
      <c r="E7" s="19" t="s">
        <v>25</v>
      </c>
      <c r="F7" s="19" t="s">
        <v>67</v>
      </c>
      <c r="I7" t="e">
        <f>SUM(A8+C9)</f>
        <v>#VALUE!</v>
      </c>
    </row>
    <row r="8" spans="1:9" x14ac:dyDescent="0.3">
      <c r="A8" s="13" t="s">
        <v>68</v>
      </c>
      <c r="B8">
        <v>3</v>
      </c>
      <c r="C8">
        <v>1021.72</v>
      </c>
      <c r="D8">
        <f>C8*I$3</f>
        <v>51.086000000000006</v>
      </c>
      <c r="E8">
        <f>C8*I$4</f>
        <v>214.56119999999999</v>
      </c>
      <c r="F8">
        <f>(C8-D8+E8)*B8</f>
        <v>3555.5856000000003</v>
      </c>
    </row>
    <row r="9" spans="1:9" x14ac:dyDescent="0.3">
      <c r="A9" s="13" t="s">
        <v>69</v>
      </c>
      <c r="B9">
        <v>1</v>
      </c>
      <c r="C9">
        <v>414.7</v>
      </c>
      <c r="D9">
        <f t="shared" ref="D9:D11" si="0">C9*I$3</f>
        <v>20.734999999999999</v>
      </c>
      <c r="E9">
        <f t="shared" ref="E9:E11" si="1">C9*I$4</f>
        <v>87.086999999999989</v>
      </c>
      <c r="F9">
        <f t="shared" ref="F9:F11" si="2">(C9-D9+E9)*B9</f>
        <v>481.05199999999996</v>
      </c>
    </row>
    <row r="10" spans="1:9" x14ac:dyDescent="0.3">
      <c r="A10" s="13" t="s">
        <v>70</v>
      </c>
      <c r="B10">
        <v>5</v>
      </c>
      <c r="C10">
        <v>180.3</v>
      </c>
      <c r="D10">
        <f t="shared" si="0"/>
        <v>9.0150000000000006</v>
      </c>
      <c r="E10">
        <f t="shared" si="1"/>
        <v>37.863</v>
      </c>
      <c r="F10">
        <f t="shared" si="2"/>
        <v>1045.7400000000002</v>
      </c>
    </row>
    <row r="11" spans="1:9" x14ac:dyDescent="0.3">
      <c r="A11" s="13" t="s">
        <v>72</v>
      </c>
      <c r="B11">
        <v>8</v>
      </c>
      <c r="C11">
        <v>5.99</v>
      </c>
      <c r="D11">
        <f t="shared" si="0"/>
        <v>0.29950000000000004</v>
      </c>
      <c r="E11">
        <f t="shared" si="1"/>
        <v>1.2579</v>
      </c>
      <c r="F11">
        <f t="shared" si="2"/>
        <v>55.587200000000003</v>
      </c>
    </row>
    <row r="12" spans="1:9" x14ac:dyDescent="0.3">
      <c r="F12" s="18">
        <f>SUM(F8:F11)</f>
        <v>5137.9648000000007</v>
      </c>
    </row>
    <row r="16" spans="1:9" x14ac:dyDescent="0.3">
      <c r="A16" s="7" t="s">
        <v>79</v>
      </c>
      <c r="B16" s="7"/>
      <c r="C16" s="7"/>
      <c r="D16" s="7"/>
      <c r="E16" s="7"/>
      <c r="F16" s="7"/>
      <c r="G16" s="7"/>
      <c r="H16" s="7"/>
    </row>
    <row r="17" spans="1:8" x14ac:dyDescent="0.3">
      <c r="A17" s="7" t="s">
        <v>83</v>
      </c>
      <c r="B17" s="7"/>
      <c r="C17" s="7"/>
      <c r="D17" s="7"/>
      <c r="E17" s="7"/>
      <c r="F17" s="7"/>
      <c r="G17" s="7"/>
      <c r="H17" s="7"/>
    </row>
    <row r="18" spans="1:8" x14ac:dyDescent="0.3">
      <c r="A18" s="7" t="s">
        <v>84</v>
      </c>
      <c r="B18" s="7"/>
      <c r="C18" s="7"/>
      <c r="D18" s="7"/>
      <c r="E18" s="7"/>
      <c r="F18" s="7"/>
      <c r="G18" s="7"/>
      <c r="H18" s="7"/>
    </row>
    <row r="19" spans="1:8" x14ac:dyDescent="0.3">
      <c r="A19" s="5" t="s">
        <v>80</v>
      </c>
      <c r="B19" s="5"/>
      <c r="C19" s="5"/>
      <c r="D19" s="5"/>
      <c r="E19" s="5"/>
      <c r="F19" s="5"/>
      <c r="G19" s="5"/>
      <c r="H19" s="5"/>
    </row>
    <row r="20" spans="1:8" x14ac:dyDescent="0.3">
      <c r="A20" s="5" t="s">
        <v>81</v>
      </c>
      <c r="B20" s="5"/>
      <c r="C20" s="5"/>
      <c r="D20" s="5"/>
      <c r="E20" s="5"/>
      <c r="F20" s="5"/>
      <c r="G20" s="5"/>
      <c r="H20" s="5"/>
    </row>
    <row r="21" spans="1:8" x14ac:dyDescent="0.3">
      <c r="A21" s="5" t="s">
        <v>82</v>
      </c>
      <c r="B21" s="5"/>
      <c r="C21" s="5"/>
      <c r="D21" s="5"/>
      <c r="E21" s="5"/>
      <c r="F21" s="5"/>
      <c r="G21" s="5"/>
      <c r="H21" s="5"/>
    </row>
  </sheetData>
  <mergeCells count="4">
    <mergeCell ref="A16:H16"/>
    <mergeCell ref="A17:H17"/>
    <mergeCell ref="A18:H18"/>
    <mergeCell ref="A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1-Formulas</vt:lpstr>
      <vt:lpstr>2-References 1</vt:lpstr>
      <vt:lpstr>3-References 2</vt:lpstr>
      <vt:lpstr>4-References 3</vt:lpstr>
      <vt:lpstr>5-Audit 1</vt:lpstr>
      <vt:lpstr>6-Audit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AlbertoToribio</dc:creator>
  <cp:lastModifiedBy>34717</cp:lastModifiedBy>
  <dcterms:created xsi:type="dcterms:W3CDTF">2015-06-05T18:19:34Z</dcterms:created>
  <dcterms:modified xsi:type="dcterms:W3CDTF">2021-05-14T13:27:47Z</dcterms:modified>
</cp:coreProperties>
</file>
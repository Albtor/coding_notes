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AC0A186D-C083-4790-AD0C-71E10A77D46A}" xr6:coauthVersionLast="47" xr6:coauthVersionMax="47" xr10:uidLastSave="{00000000-0000-0000-0000-000000000000}"/>
  <bookViews>
    <workbookView xWindow="33030" yWindow="180" windowWidth="20670" windowHeight="10410" activeTab="1" xr2:uid="{00000000-000D-0000-FFFF-FFFF00000000}"/>
  </bookViews>
  <sheets>
    <sheet name="BD" sheetId="1" r:id="rId1"/>
    <sheet name="01-Funciones_B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J8" i="2"/>
  <c r="J7" i="2"/>
  <c r="J2" i="2"/>
  <c r="J3" i="2"/>
  <c r="J12" i="2"/>
</calcChain>
</file>

<file path=xl/sharedStrings.xml><?xml version="1.0" encoding="utf-8"?>
<sst xmlns="http://schemas.openxmlformats.org/spreadsheetml/2006/main" count="105" uniqueCount="57">
  <si>
    <t>BDSUMA, BDPROMEDIO, BDMAX, BDMIN, ETC</t>
  </si>
  <si>
    <t>CODIGO ARTICULO</t>
  </si>
  <si>
    <t>SECCION</t>
  </si>
  <si>
    <t>NOMBRE ARTICULO</t>
  </si>
  <si>
    <t>PRECIO</t>
  </si>
  <si>
    <t>FECHA</t>
  </si>
  <si>
    <t>PAIS ORIGEN</t>
  </si>
  <si>
    <t>AR01</t>
  </si>
  <si>
    <t>FERRETERIA</t>
  </si>
  <si>
    <t>CONFECCION</t>
  </si>
  <si>
    <t>JUGUETERIA</t>
  </si>
  <si>
    <t>DEPORTES</t>
  </si>
  <si>
    <t>Destornillador</t>
  </si>
  <si>
    <t>Traje</t>
  </si>
  <si>
    <t>Coche</t>
  </si>
  <si>
    <t>Raqueta</t>
  </si>
  <si>
    <t>IMPORTADO</t>
  </si>
  <si>
    <t>ESPAÑA</t>
  </si>
  <si>
    <t>ITALIA</t>
  </si>
  <si>
    <t>USA</t>
  </si>
  <si>
    <t>FRANCIA</t>
  </si>
  <si>
    <r>
      <t>AR0</t>
    </r>
    <r>
      <rPr>
        <b/>
        <sz val="11"/>
        <color theme="1"/>
        <rFont val="Calibri"/>
        <family val="2"/>
        <scheme val="minor"/>
      </rPr>
      <t>2</t>
    </r>
  </si>
  <si>
    <t>AR03</t>
  </si>
  <si>
    <t>AR04</t>
  </si>
  <si>
    <t>AR05</t>
  </si>
  <si>
    <t>AR06</t>
  </si>
  <si>
    <t>AR07</t>
  </si>
  <si>
    <t>AR08</t>
  </si>
  <si>
    <t>Alicates</t>
  </si>
  <si>
    <t>Falda</t>
  </si>
  <si>
    <t>Balon</t>
  </si>
  <si>
    <t>Mancuernas</t>
  </si>
  <si>
    <t>España</t>
  </si>
  <si>
    <t>SUMA PRECIO</t>
  </si>
  <si>
    <t>Asistente funciones &gt; Base datos</t>
  </si>
  <si>
    <t>MEDIA PRECIO</t>
  </si>
  <si>
    <t>/=BDSUMA(BD!A1:G9;BD!D1;A1:G2)</t>
  </si>
  <si>
    <t>/=BDPROMEDIO(BD!A1:G9;BD!D1;A1:G2)</t>
  </si>
  <si>
    <t>Pantalon Caballero</t>
  </si>
  <si>
    <t>Camisa Caballero</t>
  </si>
  <si>
    <t>Abrigo Caballero</t>
  </si>
  <si>
    <t>* CABALLERO</t>
  </si>
  <si>
    <t>/? Sustituye a un único caracter FERRETERÍA vs FERRETERIA podemos poner FERRETER?A</t>
  </si>
  <si>
    <t xml:space="preserve">/ * Sustituye a varios caracteres *CABALLERO   -- FERRET*  *RRETERIA  FE*TERIA </t>
  </si>
  <si>
    <t>Aquí ponemos</t>
  </si>
  <si>
    <t>Rangos</t>
  </si>
  <si>
    <t>Columna1</t>
  </si>
  <si>
    <t>Columna2</t>
  </si>
  <si>
    <t>Columna3</t>
  </si>
  <si>
    <t>Columna4</t>
  </si>
  <si>
    <t>Columna5</t>
  </si>
  <si>
    <t>Columna6</t>
  </si>
  <si>
    <t>Columna7</t>
  </si>
  <si>
    <t>Rangos: permiten actualizar los resultados al añadir más filas a la BD</t>
  </si>
  <si>
    <t>Y/O: Poner ciertas</t>
  </si>
  <si>
    <t>Y - o: poner ciertas celdas conjuntamente o separadamente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</si>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</sst>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D7A96-2BE6-401F-97F7-0D169503CC64}" name="Tabla1" displayName="Tabla1" ref="A1:G14" totalsRowShown="0" headerRowDxfId="0">
  <autoFilter ref="A1:G14" xr:uid="{A6CD7A96-2BE6-401F-97F7-0D169503CC64}"/>
  <tableColumns count="7">
    <tableColumn id="1" xr3:uid="{227F8871-945C-4B99-AD42-62576765068D}" name="Columna1"/>
    <tableColumn id="2" xr3:uid="{56F59FA1-80BA-4331-A600-7EA04375D93B}" name="Columna2"/>
    <tableColumn id="3" xr3:uid="{BCC2EF62-BEB2-4F1D-B726-62B4AF1DB668}" name="Columna3"/>
    <tableColumn id="4" xr3:uid="{A3022313-C6EF-4288-995F-115E031BC186}" name="Columna4"/>
    <tableColumn id="5" xr3:uid="{CAA45CB0-67FC-4D3A-AD56-D3F913083BA4}" name="Columna5" dataDxfId="1"/>
    <tableColumn id="6" xr3:uid="{FB049BDE-7CDA-4A51-9054-1985A01518BB}" name="Columna6"/>
    <tableColumn id="7" xr3:uid="{7185BBE1-2280-4BF6-B5F4-36EEC459A046}" name="Columna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D17" sqref="D17"/>
    </sheetView>
  </sheetViews>
  <sheetFormatPr baseColWidth="10" defaultColWidth="8.88671875" defaultRowHeight="14.4" x14ac:dyDescent="0.3"/>
  <cols>
    <col min="1" max="1" width="18.6640625" customWidth="1"/>
    <col min="2" max="2" width="12.88671875" customWidth="1"/>
    <col min="3" max="3" width="18.21875" customWidth="1"/>
    <col min="4" max="4" width="11.77734375" customWidth="1"/>
    <col min="5" max="5" width="12.6640625" customWidth="1"/>
    <col min="6" max="6" width="17.77734375" customWidth="1"/>
    <col min="7" max="7" width="14.21875" customWidth="1"/>
  </cols>
  <sheetData>
    <row r="1" spans="1:7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16</v>
      </c>
      <c r="G2" s="2" t="s">
        <v>6</v>
      </c>
    </row>
    <row r="3" spans="1:7" x14ac:dyDescent="0.3">
      <c r="A3" t="s">
        <v>7</v>
      </c>
      <c r="B3" t="s">
        <v>8</v>
      </c>
      <c r="C3" t="s">
        <v>12</v>
      </c>
      <c r="D3">
        <v>6.63</v>
      </c>
      <c r="E3" s="3">
        <v>43760</v>
      </c>
      <c r="F3" t="b">
        <v>0</v>
      </c>
      <c r="G3" t="s">
        <v>17</v>
      </c>
    </row>
    <row r="4" spans="1:7" x14ac:dyDescent="0.3">
      <c r="A4" t="s">
        <v>21</v>
      </c>
      <c r="B4" t="s">
        <v>9</v>
      </c>
      <c r="C4" t="s">
        <v>13</v>
      </c>
      <c r="D4">
        <v>80.75</v>
      </c>
      <c r="E4" s="3">
        <v>43761</v>
      </c>
      <c r="F4" t="b">
        <v>1</v>
      </c>
      <c r="G4" t="s">
        <v>18</v>
      </c>
    </row>
    <row r="5" spans="1:7" x14ac:dyDescent="0.3">
      <c r="A5" t="s">
        <v>22</v>
      </c>
      <c r="B5" t="s">
        <v>10</v>
      </c>
      <c r="C5" t="s">
        <v>14</v>
      </c>
      <c r="D5">
        <v>14.95</v>
      </c>
      <c r="E5" s="3">
        <v>43762</v>
      </c>
      <c r="F5" t="b">
        <v>1</v>
      </c>
      <c r="G5" t="s">
        <v>19</v>
      </c>
    </row>
    <row r="6" spans="1:7" x14ac:dyDescent="0.3">
      <c r="A6" t="s">
        <v>23</v>
      </c>
      <c r="B6" t="s">
        <v>11</v>
      </c>
      <c r="C6" t="s">
        <v>15</v>
      </c>
      <c r="D6">
        <v>35.950000000000003</v>
      </c>
      <c r="E6" s="3">
        <v>43763</v>
      </c>
      <c r="F6" t="b">
        <v>0</v>
      </c>
      <c r="G6" t="s">
        <v>20</v>
      </c>
    </row>
    <row r="7" spans="1:7" x14ac:dyDescent="0.3">
      <c r="A7" t="s">
        <v>24</v>
      </c>
      <c r="B7" t="s">
        <v>8</v>
      </c>
      <c r="C7" t="s">
        <v>28</v>
      </c>
      <c r="D7">
        <v>8</v>
      </c>
      <c r="E7" s="3">
        <v>43764</v>
      </c>
      <c r="F7" t="b">
        <v>0</v>
      </c>
      <c r="G7" t="s">
        <v>17</v>
      </c>
    </row>
    <row r="8" spans="1:7" x14ac:dyDescent="0.3">
      <c r="A8" t="s">
        <v>25</v>
      </c>
      <c r="B8" t="s">
        <v>9</v>
      </c>
      <c r="C8" t="s">
        <v>29</v>
      </c>
      <c r="D8">
        <v>21</v>
      </c>
      <c r="E8" s="3">
        <v>43765</v>
      </c>
      <c r="F8" t="b">
        <v>1</v>
      </c>
      <c r="G8" t="s">
        <v>20</v>
      </c>
    </row>
    <row r="9" spans="1:7" x14ac:dyDescent="0.3">
      <c r="A9" t="s">
        <v>26</v>
      </c>
      <c r="B9" t="s">
        <v>10</v>
      </c>
      <c r="C9" t="s">
        <v>30</v>
      </c>
      <c r="D9">
        <v>7</v>
      </c>
      <c r="E9" s="3">
        <v>43766</v>
      </c>
      <c r="F9" t="b">
        <v>1</v>
      </c>
      <c r="G9" t="s">
        <v>18</v>
      </c>
    </row>
    <row r="10" spans="1:7" x14ac:dyDescent="0.3">
      <c r="A10" t="s">
        <v>27</v>
      </c>
      <c r="B10" t="s">
        <v>11</v>
      </c>
      <c r="C10" t="s">
        <v>31</v>
      </c>
      <c r="D10">
        <v>40</v>
      </c>
      <c r="E10" s="3">
        <v>43767</v>
      </c>
      <c r="F10" t="b">
        <v>0</v>
      </c>
      <c r="G10" t="s">
        <v>17</v>
      </c>
    </row>
    <row r="11" spans="1:7" x14ac:dyDescent="0.3">
      <c r="A11" t="s">
        <v>25</v>
      </c>
      <c r="B11" t="s">
        <v>9</v>
      </c>
      <c r="C11" t="s">
        <v>38</v>
      </c>
      <c r="D11">
        <v>21</v>
      </c>
      <c r="E11" s="3">
        <v>43765</v>
      </c>
      <c r="F11" t="b">
        <v>1</v>
      </c>
      <c r="G11" t="s">
        <v>20</v>
      </c>
    </row>
    <row r="12" spans="1:7" x14ac:dyDescent="0.3">
      <c r="A12" t="s">
        <v>25</v>
      </c>
      <c r="B12" t="s">
        <v>9</v>
      </c>
      <c r="C12" t="s">
        <v>39</v>
      </c>
      <c r="D12">
        <v>21</v>
      </c>
      <c r="E12" s="3">
        <v>43765</v>
      </c>
      <c r="F12" t="b">
        <v>1</v>
      </c>
      <c r="G12" t="s">
        <v>20</v>
      </c>
    </row>
    <row r="13" spans="1:7" x14ac:dyDescent="0.3">
      <c r="A13" t="s">
        <v>25</v>
      </c>
      <c r="B13" t="s">
        <v>9</v>
      </c>
      <c r="C13" t="s">
        <v>40</v>
      </c>
      <c r="D13">
        <v>21</v>
      </c>
      <c r="E13" s="3">
        <v>43765</v>
      </c>
      <c r="F13" t="b">
        <v>1</v>
      </c>
      <c r="G13" t="s">
        <v>20</v>
      </c>
    </row>
    <row r="14" spans="1:7" x14ac:dyDescent="0.3">
      <c r="A14" t="s">
        <v>27</v>
      </c>
      <c r="B14" t="s">
        <v>11</v>
      </c>
      <c r="C14" t="s">
        <v>31</v>
      </c>
      <c r="D14">
        <v>60</v>
      </c>
      <c r="E14" s="3">
        <v>43767</v>
      </c>
      <c r="F14" t="b">
        <v>0</v>
      </c>
      <c r="G14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E8CE-EFCC-4CD5-9B3B-1D81F80A2E59}">
  <dimension ref="A2:L24"/>
  <sheetViews>
    <sheetView tabSelected="1" workbookViewId="0">
      <selection activeCell="F29" sqref="F29"/>
    </sheetView>
  </sheetViews>
  <sheetFormatPr baseColWidth="10" defaultRowHeight="14.4" x14ac:dyDescent="0.3"/>
  <cols>
    <col min="1" max="1" width="25.77734375" customWidth="1"/>
    <col min="3" max="3" width="16" customWidth="1"/>
    <col min="9" max="9" width="13.109375" customWidth="1"/>
  </cols>
  <sheetData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16</v>
      </c>
      <c r="G2" s="2" t="s">
        <v>6</v>
      </c>
      <c r="I2" t="s">
        <v>33</v>
      </c>
      <c r="J2">
        <f>DSUM(BD!A2:G14,BD!D2,A2:G3)</f>
        <v>63</v>
      </c>
    </row>
    <row r="3" spans="1:12" x14ac:dyDescent="0.3">
      <c r="C3" t="s">
        <v>41</v>
      </c>
      <c r="I3" t="s">
        <v>35</v>
      </c>
      <c r="J3">
        <f>DAVERAGE(BD!A2:G14,BD!D2,A2:G3)</f>
        <v>21</v>
      </c>
    </row>
    <row r="6" spans="1:12" x14ac:dyDescent="0.3">
      <c r="A6" t="s">
        <v>55</v>
      </c>
    </row>
    <row r="7" spans="1:12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16</v>
      </c>
      <c r="G7" s="2" t="s">
        <v>6</v>
      </c>
      <c r="I7" t="s">
        <v>33</v>
      </c>
      <c r="J7">
        <f>DSUM(BD!A2:G14,BD!D2,A7:F9)</f>
        <v>337.28</v>
      </c>
      <c r="L7" t="s">
        <v>44</v>
      </c>
    </row>
    <row r="8" spans="1:12" x14ac:dyDescent="0.3">
      <c r="C8" t="s">
        <v>41</v>
      </c>
      <c r="G8" t="s">
        <v>56</v>
      </c>
      <c r="I8" t="s">
        <v>35</v>
      </c>
      <c r="J8">
        <f>DAVERAGE(BD!A2:G14,BD!D2,A7:G9)</f>
        <v>25.375714285714285</v>
      </c>
    </row>
    <row r="9" spans="1:12" x14ac:dyDescent="0.3">
      <c r="G9" t="s">
        <v>32</v>
      </c>
    </row>
    <row r="11" spans="1:12" x14ac:dyDescent="0.3">
      <c r="A11" t="s">
        <v>45</v>
      </c>
    </row>
    <row r="12" spans="1:12" x14ac:dyDescent="0.3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16</v>
      </c>
      <c r="G12" s="2" t="s">
        <v>6</v>
      </c>
      <c r="I12" t="s">
        <v>33</v>
      </c>
      <c r="J12">
        <f>DSUM(Tabla1[],BD!D2,A12:G13)</f>
        <v>114.63</v>
      </c>
    </row>
    <row r="13" spans="1:12" x14ac:dyDescent="0.3">
      <c r="G13" t="s">
        <v>32</v>
      </c>
      <c r="I13" t="s">
        <v>35</v>
      </c>
      <c r="J13">
        <f>DAVERAGE(Tabla1[],BD!D2,A12:G13)</f>
        <v>28.657499999999999</v>
      </c>
    </row>
    <row r="16" spans="1:12" x14ac:dyDescent="0.3">
      <c r="A16" s="4" t="s">
        <v>0</v>
      </c>
      <c r="B16" s="4"/>
      <c r="C16" s="4"/>
      <c r="D16" s="4"/>
      <c r="E16" s="4"/>
      <c r="F16" s="4"/>
    </row>
    <row r="17" spans="1:6" x14ac:dyDescent="0.3">
      <c r="A17" s="4" t="s">
        <v>34</v>
      </c>
      <c r="B17" s="4"/>
      <c r="C17" s="4"/>
      <c r="D17" s="4"/>
      <c r="E17" s="4"/>
      <c r="F17" s="4"/>
    </row>
    <row r="18" spans="1:6" x14ac:dyDescent="0.3">
      <c r="A18" s="4" t="s">
        <v>36</v>
      </c>
      <c r="B18" s="4"/>
      <c r="C18" s="4"/>
      <c r="D18" s="4"/>
      <c r="E18" s="4"/>
      <c r="F18" s="4"/>
    </row>
    <row r="19" spans="1:6" x14ac:dyDescent="0.3">
      <c r="A19" s="4" t="s">
        <v>37</v>
      </c>
      <c r="B19" s="4"/>
      <c r="C19" s="4"/>
      <c r="D19" s="4"/>
      <c r="E19" s="4"/>
      <c r="F19" s="4"/>
    </row>
    <row r="21" spans="1:6" x14ac:dyDescent="0.3">
      <c r="A21" s="4" t="s">
        <v>42</v>
      </c>
      <c r="B21" s="4"/>
      <c r="C21" s="4"/>
      <c r="D21" s="4"/>
      <c r="E21" s="4"/>
      <c r="F21" s="4"/>
    </row>
    <row r="22" spans="1:6" x14ac:dyDescent="0.3">
      <c r="A22" s="1" t="s">
        <v>43</v>
      </c>
      <c r="B22" s="1"/>
      <c r="C22" s="1"/>
      <c r="D22" s="1"/>
      <c r="E22" s="1"/>
    </row>
    <row r="23" spans="1:6" x14ac:dyDescent="0.3">
      <c r="A23" s="1" t="s">
        <v>54</v>
      </c>
      <c r="B23" s="1"/>
      <c r="C23" s="1"/>
      <c r="D23" s="1"/>
      <c r="E23" s="1"/>
      <c r="F23" s="1"/>
    </row>
    <row r="24" spans="1:6" x14ac:dyDescent="0.3">
      <c r="A24" s="1" t="s">
        <v>53</v>
      </c>
      <c r="B24" s="1"/>
      <c r="C24" s="1"/>
      <c r="D24" s="1"/>
      <c r="E24" s="1"/>
      <c r="F24" s="1"/>
    </row>
  </sheetData>
  <mergeCells count="3">
    <mergeCell ref="A23:F23"/>
    <mergeCell ref="A24:F24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01-Funciones_BD2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2021-05-31T16:08:46Z</dcterms:modified>
</cp:coreProperties>
</file>
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CED3928D-BE4E-4534-9E62-2D137B1AB49B}" xr6:coauthVersionLast="47" xr6:coauthVersionMax="47" xr10:uidLastSave="{00000000-0000-0000-0000-000000000000}"/>
  <bookViews>
    <workbookView xWindow="28680" yWindow="-120" windowWidth="29040" windowHeight="15840" activeTab="6" xr2:uid="{00000000-000D-0000-FFFF-FFFF00000000}"/>
  </bookViews>
  <sheets>
    <sheet name="1-TablasDeDatos" sheetId="1" r:id="rId1"/>
    <sheet name="2-Escenarios" sheetId="2" r:id="rId2"/>
    <sheet name="ResumenEscenario" sheetId="4" r:id="rId3"/>
    <sheet name="3-BuscarObjetivo" sheetId="5" r:id="rId4"/>
    <sheet name="4-Solver" sheetId="6" r:id="rId5"/>
    <sheet name="5-Solver" sheetId="7" r:id="rId6"/>
    <sheet name="6-Solver" sheetId="8" r:id="rId7"/>
  </sheets>
  <definedNames>
    <definedName name="Capital">'2-Escenarios'!$B$1</definedName>
    <definedName name="Cuotas">'2-Escenarios'!$B$3</definedName>
    <definedName name="Mensualidad">'2-Escenarios'!$B$7</definedName>
    <definedName name="Seguro">'2-Escenarios'!$B$6</definedName>
    <definedName name="solver_adj" localSheetId="4" hidden="1">'4-Solver'!$C$2,'4-Solver'!$C$3,'4-Solver'!$C$4</definedName>
    <definedName name="solver_adj" localSheetId="5" hidden="1">'5-Solver'!$F$2:$F$4</definedName>
    <definedName name="solver_adj" localSheetId="6" hidden="1">'6-Solver'!$E$10:$G$11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drv" localSheetId="4" hidden="1">1</definedName>
    <definedName name="solver_drv" localSheetId="5" hidden="1">1</definedName>
    <definedName name="solver_drv" localSheetId="6" hidden="1">2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lhs1" localSheetId="4" hidden="1">'4-Solver'!$C$2:$C$4</definedName>
    <definedName name="solver_lhs1" localSheetId="5" hidden="1">'5-Solver'!$F$2</definedName>
    <definedName name="solver_lhs1" localSheetId="6" hidden="1">'6-Solver'!$E$12</definedName>
    <definedName name="solver_lhs2" localSheetId="4" hidden="1">'4-Solver'!$C$4</definedName>
    <definedName name="solver_lhs2" localSheetId="5" hidden="1">'5-Solver'!$F$2:$F$4</definedName>
    <definedName name="solver_lhs2" localSheetId="6" hidden="1">'6-Solver'!$F$12</definedName>
    <definedName name="solver_lhs3" localSheetId="5" hidden="1">'5-Solver'!$F$3</definedName>
    <definedName name="solver_lhs3" localSheetId="6" hidden="1">'6-Solver'!$G$12</definedName>
    <definedName name="solver_lhs4" localSheetId="5" hidden="1">'5-Solver'!$F$4</definedName>
    <definedName name="solver_lhs4" localSheetId="6" hidden="1">'6-Solver'!$H$10</definedName>
    <definedName name="solver_lhs5" localSheetId="5" hidden="1">'5-Solver'!$G$6</definedName>
    <definedName name="solver_lhs5" localSheetId="6" hidden="1">'6-Solver'!$H$11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um" localSheetId="4" hidden="1">2</definedName>
    <definedName name="solver_num" localSheetId="5" hidden="1">5</definedName>
    <definedName name="solver_num" localSheetId="6" hidden="1">5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opt" localSheetId="4" hidden="1">'4-Solver'!$F$5</definedName>
    <definedName name="solver_opt" localSheetId="5" hidden="1">'5-Solver'!$H$6</definedName>
    <definedName name="solver_opt" localSheetId="6" hidden="1">'6-Solver'!$A$9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rbv" localSheetId="4" hidden="1">1</definedName>
    <definedName name="solver_rbv" localSheetId="5" hidden="1">1</definedName>
    <definedName name="solver_rbv" localSheetId="6" hidden="1">2</definedName>
    <definedName name="solver_rel1" localSheetId="4" hidden="1">4</definedName>
    <definedName name="solver_rel1" localSheetId="5" hidden="1">3</definedName>
    <definedName name="solver_rel1" localSheetId="6" hidden="1">2</definedName>
    <definedName name="solver_rel2" localSheetId="4" hidden="1">3</definedName>
    <definedName name="solver_rel2" localSheetId="5" hidden="1">4</definedName>
    <definedName name="solver_rel2" localSheetId="6" hidden="1">2</definedName>
    <definedName name="solver_rel3" localSheetId="5" hidden="1">3</definedName>
    <definedName name="solver_rel3" localSheetId="6" hidden="1">2</definedName>
    <definedName name="solver_rel4" localSheetId="5" hidden="1">3</definedName>
    <definedName name="solver_rel4" localSheetId="6" hidden="1">1</definedName>
    <definedName name="solver_rel5" localSheetId="5" hidden="1">1</definedName>
    <definedName name="solver_rel5" localSheetId="6" hidden="1">1</definedName>
    <definedName name="solver_rhs1" localSheetId="4" hidden="1">"entero"</definedName>
    <definedName name="solver_rhs1" localSheetId="5" hidden="1">350</definedName>
    <definedName name="solver_rhs1" localSheetId="6" hidden="1">'6-Solver'!$E$3</definedName>
    <definedName name="solver_rhs2" localSheetId="4" hidden="1">10</definedName>
    <definedName name="solver_rhs2" localSheetId="5" hidden="1">"entero"</definedName>
    <definedName name="solver_rhs2" localSheetId="6" hidden="1">'6-Solver'!$E$4</definedName>
    <definedName name="solver_rhs3" localSheetId="5" hidden="1">150</definedName>
    <definedName name="solver_rhs3" localSheetId="6" hidden="1">'6-Solver'!$E$5</definedName>
    <definedName name="solver_rhs4" localSheetId="5" hidden="1">150</definedName>
    <definedName name="solver_rhs4" localSheetId="6" hidden="1">'6-Solver'!$B$4</definedName>
    <definedName name="solver_rhs5" localSheetId="5" hidden="1">60000</definedName>
    <definedName name="solver_rhs5" localSheetId="6" hidden="1">'6-Solver'!$B$5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scl" localSheetId="4" hidden="1">1</definedName>
    <definedName name="solver_scl" localSheetId="5" hidden="1">1</definedName>
    <definedName name="solver_scl" localSheetId="6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yp" localSheetId="4" hidden="1">1</definedName>
    <definedName name="solver_typ" localSheetId="5" hidden="1">1</definedName>
    <definedName name="solver_typ" localSheetId="6" hidden="1">2</definedName>
    <definedName name="solver_val" localSheetId="4" hidden="1">2500000</definedName>
    <definedName name="solver_val" localSheetId="5" hidden="1">0</definedName>
    <definedName name="solver_val" localSheetId="6" hidden="1">0</definedName>
    <definedName name="solver_ver" localSheetId="4" hidden="1">3</definedName>
    <definedName name="solver_ver" localSheetId="5" hidden="1">3</definedName>
    <definedName name="solver_ver" localSheetId="6" hidden="1">3</definedName>
    <definedName name="Tasa_Interes">'2-Escenarios'!$B$2</definedName>
    <definedName name="tasaInteres">'2-Escenarios'!$B$2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8" l="1"/>
  <c r="F17" i="8"/>
  <c r="G17" i="8"/>
  <c r="F16" i="8"/>
  <c r="G16" i="8"/>
  <c r="E16" i="8"/>
  <c r="E12" i="8"/>
  <c r="F12" i="8"/>
  <c r="G12" i="8"/>
  <c r="H11" i="8"/>
  <c r="H10" i="8"/>
  <c r="H3" i="7"/>
  <c r="H4" i="7"/>
  <c r="H2" i="7"/>
  <c r="G3" i="7"/>
  <c r="G4" i="7"/>
  <c r="G2" i="7"/>
  <c r="D3" i="7"/>
  <c r="D4" i="7"/>
  <c r="D2" i="7"/>
  <c r="D3" i="6"/>
  <c r="D4" i="6"/>
  <c r="E4" i="6" s="1"/>
  <c r="D2" i="6"/>
  <c r="E2" i="6" s="1"/>
  <c r="D9" i="5"/>
  <c r="E9" i="5" s="1"/>
  <c r="D8" i="5"/>
  <c r="E8" i="5" s="1"/>
  <c r="B4" i="5"/>
  <c r="B5" i="2"/>
  <c r="B7" i="2" s="1"/>
  <c r="B5" i="1"/>
  <c r="E2" i="1" s="1"/>
  <c r="H17" i="8" l="1"/>
  <c r="H16" i="8"/>
  <c r="A9" i="8" s="1"/>
  <c r="G6" i="7"/>
  <c r="H6" i="7"/>
  <c r="F4" i="6"/>
  <c r="F2" i="6"/>
  <c r="E3" i="6"/>
  <c r="F3" i="6" s="1"/>
  <c r="F9" i="5"/>
  <c r="F8" i="5"/>
  <c r="F11" i="5" s="1"/>
  <c r="G2" i="1"/>
  <c r="F5" i="6" l="1"/>
</calcChain>
</file>

<file path=xl/sharedStrings.xml><?xml version="1.0" encoding="utf-8"?>
<sst xmlns="http://schemas.openxmlformats.org/spreadsheetml/2006/main" count="122" uniqueCount="79">
  <si>
    <t>Capital</t>
  </si>
  <si>
    <t>Interés</t>
  </si>
  <si>
    <t>Cuotas</t>
  </si>
  <si>
    <t>Mensualidad</t>
  </si>
  <si>
    <t>Herramientas de Analisis: Datos &gt; Análisis de Hipótesis &gt; Tabla de datos</t>
  </si>
  <si>
    <t>se coge el dato de la tabla principal y se selecciona en fila o columna, en este caso en columna</t>
  </si>
  <si>
    <t>2 variables en columna y fila</t>
  </si>
  <si>
    <t>1 variable</t>
  </si>
  <si>
    <t>Funcion Pago()</t>
  </si>
  <si>
    <t>Tablas de datos de dos variables:
    se ponen datos tanto en la variable columna como en la de fila, de las celdas  de la columna con dato para la fila y la columna</t>
  </si>
  <si>
    <t>Escenarios</t>
  </si>
  <si>
    <t>A pagar</t>
  </si>
  <si>
    <t>Seguro</t>
  </si>
  <si>
    <t>Mas potentes, se pueden ver resultados cambiando muchas celdas</t>
  </si>
  <si>
    <t>Datos &gt; análisis de hipótesis &gt; Administrador de escenarios</t>
  </si>
  <si>
    <t>Se pone un nombre cualquiera, y luego se establecen las celdas cambiantes
    Se pueden crear varios estableciendo los distintos valores
    Visualizar los escenarios: Datos &gt; análisis de hipótesis &gt; Administrador de escenarios
    Elegimos el que queramos y le damos a mostrar</t>
  </si>
  <si>
    <t>Tasa_Interes</t>
  </si>
  <si>
    <t>Banco1 a 5% a 25 años con seguro 100% capital</t>
  </si>
  <si>
    <t>Creado por 34717 el 06/07/2021
Modificado por 34717 el 06/07/2021</t>
  </si>
  <si>
    <t>Banco1 al 4% a 30 años 100% capital con seguro</t>
  </si>
  <si>
    <t>Creado por 34717 el 06/07/2021</t>
  </si>
  <si>
    <t>Banco1 al 3% a 25 años 100% capital</t>
  </si>
  <si>
    <t>Banco2 a 2,5% interes a 35 años con seguro</t>
  </si>
  <si>
    <t>Banco3 al 3% interés con 80% capital a 20 años con seguro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</si>
  <si>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</si>
  <si>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</si>
  <si>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</si>
  <si>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</si>
  <si>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</si>
  <si>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</si>
  <si>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</si>
  <si>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Boton Resumen:
    Crea hoja aparte con el resumen /informe con todas las opciones
    Tabla dinámica</t>
  </si>
  <si>
    <t>Aplicar escenarios de una hoja a otra 
    copiar tabla de una hoja y ponerla en la misma celda de otra
    Administrador de escenarios -&gt; Combinar</t>
  </si>
  <si>
    <t>Casillas de proteccion: 
    Evitar cambios Revisar &gt; Proteger hoja &gt; Establecer contraseña de proteccion
    Ocultar: para que no los vean otras personas</t>
  </si>
  <si>
    <t>Precio Vehiculo</t>
  </si>
  <si>
    <t>Inteés</t>
  </si>
  <si>
    <t>Plazos</t>
  </si>
  <si>
    <t>Cuota mensual</t>
  </si>
  <si>
    <t>Buscar objetivo</t>
  </si>
  <si>
    <t>Articulo</t>
  </si>
  <si>
    <t>Precio ud</t>
  </si>
  <si>
    <t>Unidades</t>
  </si>
  <si>
    <t>IVA</t>
  </si>
  <si>
    <t>Descuento</t>
  </si>
  <si>
    <t>Total</t>
  </si>
  <si>
    <t>Mesa</t>
  </si>
  <si>
    <t>Silla</t>
  </si>
  <si>
    <t>Iva</t>
  </si>
  <si>
    <t>Dto</t>
  </si>
  <si>
    <t>Datos &gt; análisis de hipótesis &gt; BuscarObjetivo
    Da resultado si es posible
    1.Definir la celda: el resultado, exige que tenga una fórmula
    2.Con el valor:  el valor que quiero
    3.Cambiando la celda: el valor total</t>
  </si>
  <si>
    <t>Problema: si no se pueden encontrar ciertas tablas, quizás no obtenga resultados</t>
  </si>
  <si>
    <t>SOLVER</t>
  </si>
  <si>
    <t>Ordenadores</t>
  </si>
  <si>
    <t>Hay que descargarlo  Archivo &gt; Opciones &gt; Complementos &gt; Administrar Complementos Excel / Ir a &gt; Click en Solver y aceptar</t>
  </si>
  <si>
    <t>Datos &gt; Solver</t>
  </si>
  <si>
    <t>Se pueden poner más restricciones que buscar objetivo. Por ej: necesito comprar x ordenadores y x sillas. Puede dar mensaje de imposible</t>
  </si>
  <si>
    <t>Producto</t>
  </si>
  <si>
    <t>Precio</t>
  </si>
  <si>
    <t>Costo fabricacion</t>
  </si>
  <si>
    <t>Beneficio</t>
  </si>
  <si>
    <t>Unidades a vender</t>
  </si>
  <si>
    <t>Costo Fabricacion</t>
  </si>
  <si>
    <t>Mesas</t>
  </si>
  <si>
    <t>Sillas</t>
  </si>
  <si>
    <t>Lamparas</t>
  </si>
  <si>
    <t>Maximizar Beneficios</t>
  </si>
  <si>
    <t>CAPACIDAD FABRICACION FABRICAS</t>
  </si>
  <si>
    <t>Zona</t>
  </si>
  <si>
    <t>Capacidad Maxima</t>
  </si>
  <si>
    <t>Centro</t>
  </si>
  <si>
    <t>Sur</t>
  </si>
  <si>
    <t>PEDIDO</t>
  </si>
  <si>
    <t xml:space="preserve">Mesas </t>
  </si>
  <si>
    <t>COSTE FABRICACION</t>
  </si>
  <si>
    <t>Fabrica</t>
  </si>
  <si>
    <t>COSTE DE FABRICACION</t>
  </si>
  <si>
    <t>UNIDADES FABRICACION</t>
  </si>
  <si>
    <t>TOTAL</t>
  </si>
  <si>
    <t>SOLVER CON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</si>
</sst>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9" fontId="0" fillId="0" borderId="0" xfId="0" applyNumberFormat="1"/>
    <xf numFmtId="8" fontId="0" fillId="0" borderId="0" xfId="0" applyNumberFormat="1"/>
    <xf numFmtId="10" fontId="0" fillId="0" borderId="0" xfId="0" applyNumberFormat="1"/>
    <xf numFmtId="164" fontId="0" fillId="0" borderId="0" xfId="1" applyNumberFormat="1" applyFont="1" applyAlignment="1">
      <alignment horizontal="right"/>
    </xf>
    <xf numFmtId="0" fontId="0" fillId="0" borderId="0" xfId="0" applyFill="1" applyBorder="1" applyAlignment="1"/>
    <xf numFmtId="9" fontId="0" fillId="0" borderId="0" xfId="0" applyNumberFormat="1" applyFill="1" applyBorder="1" applyAlignment="1"/>
    <xf numFmtId="164" fontId="0" fillId="0" borderId="0" xfId="0" applyNumberFormat="1" applyFill="1" applyBorder="1" applyAlignment="1"/>
    <xf numFmtId="8" fontId="0" fillId="0" borderId="2" xfId="0" applyNumberFormat="1" applyFill="1" applyBorder="1" applyAlignment="1"/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4" fillId="3" borderId="0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9" fontId="0" fillId="4" borderId="0" xfId="0" applyNumberFormat="1" applyFill="1" applyBorder="1" applyAlignment="1"/>
    <xf numFmtId="164" fontId="0" fillId="4" borderId="0" xfId="0" applyNumberFormat="1" applyFill="1" applyBorder="1" applyAlignment="1"/>
    <xf numFmtId="0" fontId="7" fillId="0" borderId="0" xfId="0" applyFont="1" applyFill="1" applyBorder="1" applyAlignment="1">
      <alignment vertical="top" wrapText="1"/>
    </xf>
    <xf numFmtId="164" fontId="0" fillId="0" borderId="0" xfId="0" applyNumberFormat="1"/>
    <xf numFmtId="0" fontId="0" fillId="0" borderId="5" xfId="0" applyBorder="1"/>
    <xf numFmtId="9" fontId="0" fillId="0" borderId="6" xfId="2" applyFont="1" applyBorder="1"/>
    <xf numFmtId="0" fontId="0" fillId="0" borderId="7" xfId="0" applyBorder="1"/>
    <xf numFmtId="9" fontId="0" fillId="0" borderId="8" xfId="2" applyFont="1" applyBorder="1"/>
    <xf numFmtId="0" fontId="0" fillId="0" borderId="9" xfId="0" applyBorder="1"/>
    <xf numFmtId="0" fontId="0" fillId="0" borderId="10" xfId="0" applyBorder="1"/>
    <xf numFmtId="164" fontId="0" fillId="0" borderId="0" xfId="0" applyNumberFormat="1" applyBorder="1"/>
    <xf numFmtId="0" fontId="0" fillId="0" borderId="0" xfId="0" applyBorder="1"/>
    <xf numFmtId="0" fontId="0" fillId="0" borderId="11" xfId="0" applyBorder="1"/>
    <xf numFmtId="0" fontId="0" fillId="0" borderId="3" xfId="0" applyBorder="1"/>
    <xf numFmtId="164" fontId="0" fillId="0" borderId="3" xfId="0" applyNumberFormat="1" applyBorder="1"/>
    <xf numFmtId="0" fontId="0" fillId="0" borderId="8" xfId="0" applyBorder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164" fontId="8" fillId="0" borderId="0" xfId="0" applyNumberFormat="1" applyFont="1" applyBorder="1"/>
    <xf numFmtId="164" fontId="9" fillId="0" borderId="3" xfId="0" applyNumberFormat="1" applyFont="1" applyBorder="1"/>
    <xf numFmtId="0" fontId="0" fillId="5" borderId="0" xfId="0" applyFill="1"/>
    <xf numFmtId="0" fontId="0" fillId="6" borderId="12" xfId="0" applyFill="1" applyBorder="1"/>
    <xf numFmtId="164" fontId="0" fillId="6" borderId="12" xfId="0" applyNumberFormat="1" applyFill="1" applyBorder="1"/>
    <xf numFmtId="164" fontId="0" fillId="6" borderId="13" xfId="0" applyNumberFormat="1" applyFill="1" applyBorder="1"/>
    <xf numFmtId="0" fontId="0" fillId="6" borderId="14" xfId="0" applyFill="1" applyBorder="1"/>
    <xf numFmtId="164" fontId="0" fillId="6" borderId="14" xfId="0" applyNumberFormat="1" applyFill="1" applyBorder="1"/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15" xfId="0" applyFill="1" applyBorder="1"/>
    <xf numFmtId="0" fontId="0" fillId="6" borderId="16" xfId="0" applyFill="1" applyBorder="1"/>
    <xf numFmtId="164" fontId="0" fillId="6" borderId="16" xfId="0" applyNumberFormat="1" applyFill="1" applyBorder="1"/>
    <xf numFmtId="164" fontId="0" fillId="6" borderId="16" xfId="0" applyNumberFormat="1" applyFill="1" applyBorder="1" applyAlignment="1">
      <alignment horizontal="center"/>
    </xf>
    <xf numFmtId="164" fontId="0" fillId="6" borderId="15" xfId="0" applyNumberFormat="1" applyFill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sqref="A1:B5"/>
    </sheetView>
  </sheetViews>
  <sheetFormatPr baseColWidth="10" defaultColWidth="8.88671875" defaultRowHeight="14.4" x14ac:dyDescent="0.3"/>
  <cols>
    <col min="1" max="1" width="10.88671875" customWidth="1"/>
    <col min="2" max="2" width="12.6640625" customWidth="1"/>
    <col min="3" max="3" width="12.109375" customWidth="1"/>
    <col min="4" max="4" width="15.109375" customWidth="1"/>
    <col min="5" max="5" width="13.109375" customWidth="1"/>
  </cols>
  <sheetData>
    <row r="1" spans="1:13" x14ac:dyDescent="0.3">
      <c r="A1" t="s">
        <v>0</v>
      </c>
      <c r="B1">
        <v>30000</v>
      </c>
      <c r="D1" t="s">
        <v>7</v>
      </c>
      <c r="G1" t="s">
        <v>6</v>
      </c>
    </row>
    <row r="2" spans="1:13" x14ac:dyDescent="0.3">
      <c r="A2" t="s">
        <v>1</v>
      </c>
      <c r="B2" s="1">
        <v>0.04</v>
      </c>
      <c r="E2" s="2">
        <f>B5</f>
        <v>-552.49566165799058</v>
      </c>
      <c r="G2" s="2">
        <f>B5</f>
        <v>-552.49566165799058</v>
      </c>
      <c r="H2">
        <v>40</v>
      </c>
      <c r="I2">
        <v>45</v>
      </c>
      <c r="J2">
        <v>50</v>
      </c>
      <c r="K2">
        <v>60</v>
      </c>
      <c r="L2">
        <v>70</v>
      </c>
    </row>
    <row r="3" spans="1:13" x14ac:dyDescent="0.3">
      <c r="A3" t="s">
        <v>2</v>
      </c>
      <c r="B3">
        <v>60</v>
      </c>
      <c r="D3" s="3">
        <v>0.02</v>
      </c>
      <c r="E3">
        <f t="dataTable" ref="E3:E7" dt2D="0" dtr="0" r1="B2" ca="1"/>
        <v>-525.83280159733135</v>
      </c>
      <c r="G3" s="3">
        <v>0.02</v>
      </c>
      <c r="H3">
        <f t="dataTable" ref="H3:L7" dt2D="1" dtr="1" r1="B3" r2="B2"/>
        <v>-775.90235256396602</v>
      </c>
      <c r="I3">
        <v>-692.53427868215567</v>
      </c>
      <c r="J3">
        <v>-625.84675433733412</v>
      </c>
      <c r="K3">
        <v>-525.83280159733135</v>
      </c>
      <c r="L3">
        <v>-454.41406880839043</v>
      </c>
    </row>
    <row r="4" spans="1:13" x14ac:dyDescent="0.3">
      <c r="D4" s="3">
        <v>2.5000000000000001E-2</v>
      </c>
      <c r="E4">
        <v>-532.4208481644082</v>
      </c>
      <c r="G4" s="3">
        <v>2.5000000000000001E-2</v>
      </c>
      <c r="H4">
        <v>-782.46450523746773</v>
      </c>
      <c r="I4">
        <v>-699.09857227672001</v>
      </c>
      <c r="J4">
        <v>-632.4166557938812</v>
      </c>
      <c r="K4">
        <v>-532.4208481644082</v>
      </c>
      <c r="L4">
        <v>-461.0261925542672</v>
      </c>
    </row>
    <row r="5" spans="1:13" x14ac:dyDescent="0.3">
      <c r="A5" t="s">
        <v>3</v>
      </c>
      <c r="B5" s="2">
        <f>PMT(B2/12,B3,B1)</f>
        <v>-552.49566165799058</v>
      </c>
      <c r="D5" s="3">
        <v>0.03</v>
      </c>
      <c r="E5">
        <v>-539.06071992189413</v>
      </c>
      <c r="G5" s="3">
        <v>0.03</v>
      </c>
      <c r="H5">
        <v>-789.06122615961942</v>
      </c>
      <c r="I5">
        <v>-705.70175305050861</v>
      </c>
      <c r="J5">
        <v>-639.02976033745347</v>
      </c>
      <c r="K5">
        <v>-539.06071992189413</v>
      </c>
      <c r="L5">
        <v>-467.69874923173109</v>
      </c>
    </row>
    <row r="6" spans="1:13" x14ac:dyDescent="0.3">
      <c r="D6" s="3">
        <v>3.5000000000000003E-2</v>
      </c>
      <c r="E6">
        <v>-545.752349107692</v>
      </c>
      <c r="G6" s="3">
        <v>3.5000000000000003E-2</v>
      </c>
      <c r="H6">
        <v>-795.6924832671865</v>
      </c>
      <c r="I6">
        <v>-712.34378179336431</v>
      </c>
      <c r="J6">
        <v>-645.68602050674826</v>
      </c>
      <c r="K6">
        <v>-545.752349107692</v>
      </c>
      <c r="L6">
        <v>-474.4316449078604</v>
      </c>
    </row>
    <row r="7" spans="1:13" x14ac:dyDescent="0.3">
      <c r="D7" s="3">
        <v>0.04</v>
      </c>
      <c r="E7">
        <v>-552.49566165799058</v>
      </c>
      <c r="G7" s="3">
        <v>0.04</v>
      </c>
      <c r="H7">
        <v>-802.35824263449069</v>
      </c>
      <c r="I7">
        <v>-719.0246166387833</v>
      </c>
      <c r="J7">
        <v>-652.38538519359963</v>
      </c>
      <c r="K7">
        <v>-552.49566165799058</v>
      </c>
      <c r="L7">
        <v>-481.22477565739433</v>
      </c>
    </row>
    <row r="12" spans="1:13" x14ac:dyDescent="0.3">
      <c r="A12" t="s">
        <v>8</v>
      </c>
    </row>
    <row r="13" spans="1:13" x14ac:dyDescent="0.3">
      <c r="A13" s="34" t="s">
        <v>4</v>
      </c>
      <c r="B13" s="34"/>
      <c r="C13" s="34"/>
      <c r="D13" s="34"/>
      <c r="E13" s="34"/>
      <c r="F13" s="34"/>
    </row>
    <row r="14" spans="1:13" x14ac:dyDescent="0.3">
      <c r="A14" s="35" t="s">
        <v>5</v>
      </c>
      <c r="B14" s="35"/>
      <c r="C14" s="35"/>
      <c r="D14" s="35"/>
      <c r="E14" s="35"/>
      <c r="F14" s="35"/>
    </row>
    <row r="15" spans="1:13" ht="39.6" customHeight="1" x14ac:dyDescent="0.3">
      <c r="A15" s="36" t="s">
        <v>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</row>
  </sheetData>
  <mergeCells count="3">
    <mergeCell ref="A13:F13"/>
    <mergeCell ref="A14:F14"/>
    <mergeCell ref="A15:M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5C26-9EA3-46A6-A103-23EA58737B54}">
  <dimension ref="A1:F17"/>
  <sheetViews>
    <sheetView workbookViewId="0">
      <selection activeCell="I12" sqref="I12"/>
    </sheetView>
  </sheetViews>
  <sheetFormatPr baseColWidth="10" defaultRowHeight="14.4" x14ac:dyDescent="0.3"/>
  <sheetData>
    <row r="1" spans="1:6" x14ac:dyDescent="0.3">
      <c r="A1" t="s">
        <v>0</v>
      </c>
      <c r="B1">
        <v>140000</v>
      </c>
    </row>
    <row r="2" spans="1:6" x14ac:dyDescent="0.3">
      <c r="A2" t="s">
        <v>1</v>
      </c>
      <c r="B2" s="1">
        <v>0.05</v>
      </c>
    </row>
    <row r="3" spans="1:6" x14ac:dyDescent="0.3">
      <c r="A3" t="s">
        <v>2</v>
      </c>
      <c r="B3">
        <v>300</v>
      </c>
    </row>
    <row r="5" spans="1:6" x14ac:dyDescent="0.3">
      <c r="A5" t="s">
        <v>11</v>
      </c>
      <c r="B5" s="2">
        <f>PMT(B2/12,B3,B1)</f>
        <v>-818.42605811117073</v>
      </c>
    </row>
    <row r="6" spans="1:6" x14ac:dyDescent="0.3">
      <c r="A6" t="s">
        <v>12</v>
      </c>
      <c r="B6" s="4">
        <v>-150</v>
      </c>
    </row>
    <row r="7" spans="1:6" x14ac:dyDescent="0.3">
      <c r="A7" t="s">
        <v>3</v>
      </c>
      <c r="B7" s="2">
        <f>B5+B6</f>
        <v>-968.42605811117073</v>
      </c>
    </row>
    <row r="9" spans="1:6" x14ac:dyDescent="0.3">
      <c r="A9" s="39" t="s">
        <v>10</v>
      </c>
      <c r="B9" s="39"/>
      <c r="C9" s="39"/>
      <c r="D9" s="39"/>
      <c r="E9" s="39"/>
      <c r="F9" s="39"/>
    </row>
    <row r="10" spans="1:6" x14ac:dyDescent="0.3">
      <c r="A10" s="35" t="s">
        <v>13</v>
      </c>
      <c r="B10" s="35"/>
      <c r="C10" s="35"/>
      <c r="D10" s="35"/>
      <c r="E10" s="35"/>
      <c r="F10" s="35"/>
    </row>
    <row r="11" spans="1:6" x14ac:dyDescent="0.3">
      <c r="A11" s="35" t="s">
        <v>14</v>
      </c>
      <c r="B11" s="35"/>
      <c r="C11" s="35"/>
      <c r="D11" s="35"/>
      <c r="E11" s="35"/>
      <c r="F11" s="35"/>
    </row>
    <row r="12" spans="1:6" ht="72.599999999999994" customHeight="1" x14ac:dyDescent="0.3">
      <c r="A12" s="36" t="s">
        <v>15</v>
      </c>
      <c r="B12" s="35"/>
      <c r="C12" s="35"/>
      <c r="D12" s="35"/>
      <c r="E12" s="35"/>
      <c r="F12" s="35"/>
    </row>
    <row r="13" spans="1:6" ht="56.4" customHeight="1" x14ac:dyDescent="0.3">
      <c r="A13" s="37" t="s">
        <v>31</v>
      </c>
      <c r="B13" s="38"/>
      <c r="C13" s="38"/>
      <c r="D13" s="38"/>
      <c r="E13" s="38"/>
      <c r="F13" s="38"/>
    </row>
    <row r="14" spans="1:6" ht="49.8" customHeight="1" x14ac:dyDescent="0.3">
      <c r="A14" s="36" t="s">
        <v>32</v>
      </c>
      <c r="B14" s="35"/>
      <c r="C14" s="35"/>
      <c r="D14" s="35"/>
      <c r="E14" s="35"/>
      <c r="F14" s="35"/>
    </row>
    <row r="15" spans="1:6" ht="82.2" customHeight="1" x14ac:dyDescent="0.3">
      <c r="A15" s="37" t="s">
        <v>33</v>
      </c>
      <c r="B15" s="38"/>
      <c r="C15" s="38"/>
      <c r="D15" s="38"/>
      <c r="E15" s="38"/>
      <c r="F15" s="38"/>
    </row>
    <row r="16" spans="1:6" x14ac:dyDescent="0.3">
      <c r="A16" s="35"/>
      <c r="B16" s="35"/>
      <c r="C16" s="35"/>
      <c r="D16" s="35"/>
      <c r="E16" s="35"/>
      <c r="F16" s="35"/>
    </row>
    <row r="17" spans="1:6" x14ac:dyDescent="0.3">
      <c r="A17" s="35"/>
      <c r="B17" s="35"/>
      <c r="C17" s="35"/>
      <c r="D17" s="35"/>
      <c r="E17" s="35"/>
      <c r="F17" s="35"/>
    </row>
  </sheetData>
  <scenarios current="2" show="0" sqref="B7">
    <scenario name="Banco1 a 5% a 25 años con seguro 100% capital" locked="1" count="4" user="34717" comment="Creado por 34717 el 06/07/2021_x000a_Modificado por 34717 el 06/07/2021">
      <inputCells r="B1" val="140000"/>
      <inputCells r="B2" val="0,05" numFmtId="9"/>
      <inputCells r="B3" val="300"/>
      <inputCells r="B6" val="-150" numFmtId="164"/>
    </scenario>
    <scenario name="Banco1 al 4% a 30 años 100% capital con seguro" locked="1" count="4" user="34717" comment="Creado por 34717 el 06/07/2021">
      <inputCells r="B1" val="140000"/>
      <inputCells r="B2" val="0,04" numFmtId="9"/>
      <inputCells r="B3" val="360"/>
      <inputCells r="B6" val="-175" numFmtId="164"/>
    </scenario>
    <scenario name="Banco1 al 3% a 25 años 100% capital" locked="1" count="4" user="34717" comment="Creado por 34717 el 06/07/2021_x000a_Modificado por 34717 el 06/07/2021">
      <inputCells r="B1" val="140000"/>
      <inputCells r="B2" val="0,03" numFmtId="9"/>
      <inputCells r="B3" val="300"/>
      <inputCells r="B6" val="-150" numFmtId="164"/>
    </scenario>
    <scenario name="Banco2 a 2,5% interes a 35 años con seguro" locked="1" count="4" user="34717" comment="Creado por 34717 el 06/07/2021">
      <inputCells r="B1" val="140000"/>
      <inputCells r="B2" val="0,025" numFmtId="9"/>
      <inputCells r="B3" val="420"/>
      <inputCells r="B6" val="-275" numFmtId="164"/>
    </scenario>
    <scenario name="Banco3 al 3% interés con 80% capital a 20 años con seguro" locked="1" count="4" user="34717" comment="Creado por 34717 el 06/07/2021">
      <inputCells r="B1" val="112000"/>
      <inputCells r="B2" val="0,03" numFmtId="9"/>
      <inputCells r="B3" val="240"/>
      <inputCells r="B6" val="-160" numFmtId="164"/>
    </scenario>
  </scenarios>
  <mergeCells count="9">
    <mergeCell ref="A15:F15"/>
    <mergeCell ref="A16:F16"/>
    <mergeCell ref="A17:F17"/>
    <mergeCell ref="A9:F9"/>
    <mergeCell ref="A10:F10"/>
    <mergeCell ref="A11:F11"/>
    <mergeCell ref="A12:F12"/>
    <mergeCell ref="A13:F13"/>
    <mergeCell ref="A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723F-6EF8-4F2C-B838-C9CEEAF15FB4}">
  <sheetPr>
    <outlinePr summaryBelow="0"/>
  </sheetPr>
  <dimension ref="B1:I14"/>
  <sheetViews>
    <sheetView showGridLines="0" workbookViewId="0"/>
  </sheetViews>
  <sheetFormatPr baseColWidth="10" defaultRowHeight="14.4" outlineLevelRow="1" outlineLevelCol="1" x14ac:dyDescent="0.3"/>
  <cols>
    <col min="3" max="3" width="11.88671875" bestFit="1" customWidth="1"/>
    <col min="4" max="9" width="47.109375" bestFit="1" customWidth="1" outlineLevel="1"/>
  </cols>
  <sheetData>
    <row r="1" spans="2:9" ht="15" thickBot="1" x14ac:dyDescent="0.35"/>
    <row r="2" spans="2:9" ht="15.6" x14ac:dyDescent="0.3">
      <c r="B2" s="10" t="s">
        <v>24</v>
      </c>
      <c r="C2" s="10"/>
      <c r="D2" s="15"/>
      <c r="E2" s="15"/>
      <c r="F2" s="15"/>
      <c r="G2" s="15"/>
      <c r="H2" s="15"/>
      <c r="I2" s="15"/>
    </row>
    <row r="3" spans="2:9" ht="15.6" collapsed="1" x14ac:dyDescent="0.3">
      <c r="B3" s="9"/>
      <c r="C3" s="9"/>
      <c r="D3" s="16" t="s">
        <v>26</v>
      </c>
      <c r="E3" s="16" t="s">
        <v>17</v>
      </c>
      <c r="F3" s="16" t="s">
        <v>19</v>
      </c>
      <c r="G3" s="16" t="s">
        <v>21</v>
      </c>
      <c r="H3" s="16" t="s">
        <v>22</v>
      </c>
      <c r="I3" s="16" t="s">
        <v>23</v>
      </c>
    </row>
    <row r="4" spans="2:9" ht="20.399999999999999" hidden="1" outlineLevel="1" x14ac:dyDescent="0.3">
      <c r="B4" s="12"/>
      <c r="C4" s="12"/>
      <c r="D4" s="5"/>
      <c r="E4" s="20" t="s">
        <v>18</v>
      </c>
      <c r="F4" s="20" t="s">
        <v>20</v>
      </c>
      <c r="G4" s="20" t="s">
        <v>18</v>
      </c>
      <c r="H4" s="20" t="s">
        <v>20</v>
      </c>
      <c r="I4" s="20" t="s">
        <v>20</v>
      </c>
    </row>
    <row r="5" spans="2:9" x14ac:dyDescent="0.3">
      <c r="B5" s="13" t="s">
        <v>25</v>
      </c>
      <c r="C5" s="13"/>
      <c r="D5" s="11"/>
      <c r="E5" s="11"/>
      <c r="F5" s="11"/>
      <c r="G5" s="11"/>
      <c r="H5" s="11"/>
      <c r="I5" s="11"/>
    </row>
    <row r="6" spans="2:9" outlineLevel="1" x14ac:dyDescent="0.3">
      <c r="B6" s="12"/>
      <c r="C6" s="12" t="s">
        <v>0</v>
      </c>
      <c r="D6" s="5">
        <v>140000</v>
      </c>
      <c r="E6" s="17">
        <v>140000</v>
      </c>
      <c r="F6" s="17">
        <v>140000</v>
      </c>
      <c r="G6" s="17">
        <v>140000</v>
      </c>
      <c r="H6" s="17">
        <v>140000</v>
      </c>
      <c r="I6" s="17">
        <v>112000</v>
      </c>
    </row>
    <row r="7" spans="2:9" outlineLevel="1" x14ac:dyDescent="0.3">
      <c r="B7" s="12"/>
      <c r="C7" s="12" t="s">
        <v>16</v>
      </c>
      <c r="D7" s="6">
        <v>0.05</v>
      </c>
      <c r="E7" s="18">
        <v>0.05</v>
      </c>
      <c r="F7" s="18">
        <v>0.04</v>
      </c>
      <c r="G7" s="18">
        <v>0.03</v>
      </c>
      <c r="H7" s="18">
        <v>2.5000000000000001E-2</v>
      </c>
      <c r="I7" s="18">
        <v>0.03</v>
      </c>
    </row>
    <row r="8" spans="2:9" outlineLevel="1" x14ac:dyDescent="0.3">
      <c r="B8" s="12"/>
      <c r="C8" s="12" t="s">
        <v>2</v>
      </c>
      <c r="D8" s="5">
        <v>300</v>
      </c>
      <c r="E8" s="17">
        <v>300</v>
      </c>
      <c r="F8" s="17">
        <v>360</v>
      </c>
      <c r="G8" s="17">
        <v>300</v>
      </c>
      <c r="H8" s="17">
        <v>420</v>
      </c>
      <c r="I8" s="17">
        <v>240</v>
      </c>
    </row>
    <row r="9" spans="2:9" outlineLevel="1" x14ac:dyDescent="0.3">
      <c r="B9" s="12"/>
      <c r="C9" s="12" t="s">
        <v>12</v>
      </c>
      <c r="D9" s="7">
        <v>-150</v>
      </c>
      <c r="E9" s="19">
        <v>-150</v>
      </c>
      <c r="F9" s="19">
        <v>-175</v>
      </c>
      <c r="G9" s="19">
        <v>-150</v>
      </c>
      <c r="H9" s="19">
        <v>-275</v>
      </c>
      <c r="I9" s="19">
        <v>-160</v>
      </c>
    </row>
    <row r="10" spans="2:9" x14ac:dyDescent="0.3">
      <c r="B10" s="13" t="s">
        <v>27</v>
      </c>
      <c r="C10" s="13"/>
      <c r="D10" s="11"/>
      <c r="E10" s="11"/>
      <c r="F10" s="11"/>
      <c r="G10" s="11"/>
      <c r="H10" s="11"/>
      <c r="I10" s="11"/>
    </row>
    <row r="11" spans="2:9" ht="15" outlineLevel="1" thickBot="1" x14ac:dyDescent="0.35">
      <c r="B11" s="14"/>
      <c r="C11" s="14" t="s">
        <v>3</v>
      </c>
      <c r="D11" s="8">
        <v>-968.42605811117096</v>
      </c>
      <c r="E11" s="8">
        <v>-968.42605811117096</v>
      </c>
      <c r="F11" s="8">
        <v>-843.38141365164302</v>
      </c>
      <c r="G11" s="8">
        <v>-813.89583940074203</v>
      </c>
      <c r="H11" s="8">
        <v>-775.49330153851304</v>
      </c>
      <c r="I11" s="8">
        <v>-781.14930959638104</v>
      </c>
    </row>
    <row r="12" spans="2:9" x14ac:dyDescent="0.3">
      <c r="B12" t="s">
        <v>28</v>
      </c>
    </row>
    <row r="13" spans="2:9" x14ac:dyDescent="0.3">
      <c r="B13" t="s">
        <v>29</v>
      </c>
    </row>
    <row r="14" spans="2:9" x14ac:dyDescent="0.3">
      <c r="B1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6E83-28AC-4C52-ADBD-2C5667801163}">
  <dimension ref="A1:I16"/>
  <sheetViews>
    <sheetView workbookViewId="0">
      <selection activeCell="A7" sqref="A7:I11"/>
    </sheetView>
  </sheetViews>
  <sheetFormatPr baseColWidth="10" defaultRowHeight="14.4" x14ac:dyDescent="0.3"/>
  <cols>
    <col min="1" max="1" width="24.109375" customWidth="1"/>
    <col min="2" max="2" width="24.77734375" customWidth="1"/>
  </cols>
  <sheetData>
    <row r="1" spans="1:9" x14ac:dyDescent="0.3">
      <c r="A1" t="s">
        <v>34</v>
      </c>
      <c r="B1" s="21">
        <v>11182.679738737212</v>
      </c>
    </row>
    <row r="2" spans="1:9" x14ac:dyDescent="0.3">
      <c r="A2" t="s">
        <v>35</v>
      </c>
      <c r="B2" s="3">
        <v>3.5000000000000003E-2</v>
      </c>
    </row>
    <row r="3" spans="1:9" x14ac:dyDescent="0.3">
      <c r="A3" t="s">
        <v>36</v>
      </c>
      <c r="B3">
        <v>48</v>
      </c>
    </row>
    <row r="4" spans="1:9" x14ac:dyDescent="0.3">
      <c r="A4" t="s">
        <v>37</v>
      </c>
      <c r="B4" s="2">
        <f>PMT(B2/12,B3,B1)</f>
        <v>-250.00000000000003</v>
      </c>
    </row>
    <row r="7" spans="1:9" x14ac:dyDescent="0.3">
      <c r="A7" s="22" t="s">
        <v>39</v>
      </c>
      <c r="B7" s="26" t="s">
        <v>40</v>
      </c>
      <c r="C7" s="26" t="s">
        <v>41</v>
      </c>
      <c r="D7" s="26" t="s">
        <v>42</v>
      </c>
      <c r="E7" s="26" t="s">
        <v>43</v>
      </c>
      <c r="F7" s="26" t="s">
        <v>44</v>
      </c>
      <c r="G7" s="26"/>
      <c r="H7" s="22" t="s">
        <v>47</v>
      </c>
      <c r="I7" s="23">
        <v>0.21</v>
      </c>
    </row>
    <row r="8" spans="1:9" x14ac:dyDescent="0.3">
      <c r="A8" s="27" t="s">
        <v>45</v>
      </c>
      <c r="B8" s="28">
        <v>15000</v>
      </c>
      <c r="C8" s="29">
        <v>11.499871366092103</v>
      </c>
      <c r="D8" s="28">
        <f>B8*C8*$I$7</f>
        <v>36224.594803190121</v>
      </c>
      <c r="E8" s="28">
        <f>(D8*I8)</f>
        <v>2173.4756881914072</v>
      </c>
      <c r="F8" s="28">
        <f>B8*C8-D8-E8</f>
        <v>134100</v>
      </c>
      <c r="G8" s="29"/>
      <c r="H8" s="24" t="s">
        <v>48</v>
      </c>
      <c r="I8" s="25">
        <v>0.06</v>
      </c>
    </row>
    <row r="9" spans="1:9" x14ac:dyDescent="0.3">
      <c r="A9" s="27" t="s">
        <v>46</v>
      </c>
      <c r="B9" s="28">
        <v>3500</v>
      </c>
      <c r="C9" s="29">
        <v>60</v>
      </c>
      <c r="D9" s="28">
        <f>B9*C9*$I$7</f>
        <v>44100</v>
      </c>
      <c r="E9" s="28">
        <f>(D9*I9)</f>
        <v>0</v>
      </c>
      <c r="F9" s="28">
        <f>B9*C9-D9-E9</f>
        <v>165900</v>
      </c>
      <c r="G9" s="29"/>
      <c r="H9" s="29"/>
      <c r="I9" s="30"/>
    </row>
    <row r="10" spans="1:9" x14ac:dyDescent="0.3">
      <c r="A10" s="27"/>
      <c r="B10" s="29"/>
      <c r="C10" s="29"/>
      <c r="D10" s="29"/>
      <c r="E10" s="29"/>
      <c r="F10" s="29"/>
      <c r="G10" s="29"/>
      <c r="H10" s="29"/>
      <c r="I10" s="30"/>
    </row>
    <row r="11" spans="1:9" x14ac:dyDescent="0.3">
      <c r="A11" s="24"/>
      <c r="B11" s="31"/>
      <c r="C11" s="31"/>
      <c r="D11" s="31"/>
      <c r="E11" s="31"/>
      <c r="F11" s="32">
        <f>SUM(F8:F10)</f>
        <v>300000</v>
      </c>
      <c r="G11" s="31"/>
      <c r="H11" s="31"/>
      <c r="I11" s="33"/>
    </row>
    <row r="14" spans="1:9" x14ac:dyDescent="0.3">
      <c r="A14" s="35" t="s">
        <v>38</v>
      </c>
      <c r="B14" s="35"/>
      <c r="C14" s="35"/>
      <c r="D14" s="35"/>
      <c r="E14" s="35"/>
    </row>
    <row r="15" spans="1:9" ht="79.2" customHeight="1" x14ac:dyDescent="0.3">
      <c r="A15" s="37" t="s">
        <v>49</v>
      </c>
      <c r="B15" s="38"/>
      <c r="C15" s="38"/>
      <c r="D15" s="38"/>
      <c r="E15" s="38"/>
      <c r="F15" s="38"/>
    </row>
    <row r="16" spans="1:9" x14ac:dyDescent="0.3">
      <c r="A16" s="35" t="s">
        <v>50</v>
      </c>
      <c r="B16" s="35"/>
      <c r="C16" s="35"/>
      <c r="D16" s="35"/>
      <c r="E16" s="35"/>
      <c r="F16" s="35"/>
    </row>
  </sheetData>
  <mergeCells count="3">
    <mergeCell ref="A14:E14"/>
    <mergeCell ref="A15:F15"/>
    <mergeCell ref="A16:F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582B-E39C-4306-A021-B60E8BEF6E13}">
  <dimension ref="A1:I16"/>
  <sheetViews>
    <sheetView workbookViewId="0">
      <selection activeCell="K5" sqref="K5"/>
    </sheetView>
  </sheetViews>
  <sheetFormatPr baseColWidth="10" defaultRowHeight="14.4" x14ac:dyDescent="0.3"/>
  <cols>
    <col min="6" max="6" width="14.6640625" customWidth="1"/>
  </cols>
  <sheetData>
    <row r="1" spans="1:9" x14ac:dyDescent="0.3">
      <c r="A1" s="22" t="s">
        <v>39</v>
      </c>
      <c r="B1" s="26" t="s">
        <v>40</v>
      </c>
      <c r="C1" s="26" t="s">
        <v>41</v>
      </c>
      <c r="D1" s="26" t="s">
        <v>42</v>
      </c>
      <c r="E1" s="26" t="s">
        <v>43</v>
      </c>
      <c r="F1" s="26" t="s">
        <v>44</v>
      </c>
      <c r="G1" s="26"/>
      <c r="H1" s="22" t="s">
        <v>47</v>
      </c>
      <c r="I1" s="23">
        <v>0.21</v>
      </c>
    </row>
    <row r="2" spans="1:9" x14ac:dyDescent="0.3">
      <c r="A2" s="27" t="s">
        <v>45</v>
      </c>
      <c r="B2" s="28">
        <v>15000</v>
      </c>
      <c r="C2" s="29">
        <v>18</v>
      </c>
      <c r="D2" s="40">
        <f>B2*C2*$I$1</f>
        <v>56700</v>
      </c>
      <c r="E2" s="40">
        <f>(D2*$I$2)</f>
        <v>3402</v>
      </c>
      <c r="F2" s="40">
        <f>B2*C2-(D2-E2)</f>
        <v>216702</v>
      </c>
      <c r="G2" s="29"/>
      <c r="H2" s="24" t="s">
        <v>48</v>
      </c>
      <c r="I2" s="25">
        <v>0.06</v>
      </c>
    </row>
    <row r="3" spans="1:9" x14ac:dyDescent="0.3">
      <c r="A3" s="27" t="s">
        <v>46</v>
      </c>
      <c r="B3" s="28">
        <v>3500</v>
      </c>
      <c r="C3" s="29">
        <v>60</v>
      </c>
      <c r="D3" s="40">
        <f t="shared" ref="D3:D4" si="0">B3*C3*$I$1</f>
        <v>44100</v>
      </c>
      <c r="E3" s="40">
        <f>(D3*$I$2)</f>
        <v>2646</v>
      </c>
      <c r="F3" s="40">
        <f t="shared" ref="F3:F4" si="1">B3*C3-(D3-E3)</f>
        <v>168546</v>
      </c>
      <c r="G3" s="29"/>
      <c r="H3" s="29"/>
      <c r="I3" s="30"/>
    </row>
    <row r="4" spans="1:9" x14ac:dyDescent="0.3">
      <c r="A4" s="27" t="s">
        <v>52</v>
      </c>
      <c r="B4" s="28">
        <v>215000</v>
      </c>
      <c r="C4" s="29">
        <v>16</v>
      </c>
      <c r="D4" s="40">
        <f t="shared" si="0"/>
        <v>722400</v>
      </c>
      <c r="E4" s="40">
        <f>(D4*$I$2)</f>
        <v>43344</v>
      </c>
      <c r="F4" s="40">
        <f t="shared" si="1"/>
        <v>2760944</v>
      </c>
      <c r="G4" s="29"/>
      <c r="H4" s="29"/>
      <c r="I4" s="30"/>
    </row>
    <row r="5" spans="1:9" x14ac:dyDescent="0.3">
      <c r="A5" s="24"/>
      <c r="B5" s="31"/>
      <c r="C5" s="31"/>
      <c r="D5" s="31"/>
      <c r="E5" s="31"/>
      <c r="F5" s="41">
        <f>SUM(F2:F4)</f>
        <v>3146192</v>
      </c>
      <c r="G5" s="31"/>
      <c r="H5" s="31"/>
      <c r="I5" s="33"/>
    </row>
    <row r="13" spans="1:9" x14ac:dyDescent="0.3">
      <c r="A13" t="s">
        <v>51</v>
      </c>
    </row>
    <row r="14" spans="1:9" x14ac:dyDescent="0.3">
      <c r="A14" t="s">
        <v>53</v>
      </c>
    </row>
    <row r="15" spans="1:9" x14ac:dyDescent="0.3">
      <c r="A15" t="s">
        <v>54</v>
      </c>
    </row>
    <row r="16" spans="1:9" x14ac:dyDescent="0.3">
      <c r="A16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B4A1-4B0B-4840-832B-1E87DFE15C6F}">
  <dimension ref="A1:H11"/>
  <sheetViews>
    <sheetView workbookViewId="0">
      <selection activeCell="H6" sqref="H6"/>
    </sheetView>
  </sheetViews>
  <sheetFormatPr baseColWidth="10" defaultRowHeight="14.4" x14ac:dyDescent="0.3"/>
  <cols>
    <col min="3" max="3" width="19" customWidth="1"/>
    <col min="4" max="4" width="17.109375" customWidth="1"/>
    <col min="6" max="6" width="17.21875" customWidth="1"/>
    <col min="7" max="7" width="17.5546875" customWidth="1"/>
    <col min="8" max="8" width="20.21875" customWidth="1"/>
  </cols>
  <sheetData>
    <row r="1" spans="1:8" x14ac:dyDescent="0.3">
      <c r="A1" s="42" t="s">
        <v>56</v>
      </c>
      <c r="B1" s="42" t="s">
        <v>57</v>
      </c>
      <c r="C1" s="42" t="s">
        <v>58</v>
      </c>
      <c r="D1" s="42" t="s">
        <v>59</v>
      </c>
      <c r="F1" s="42" t="s">
        <v>60</v>
      </c>
      <c r="G1" s="42" t="s">
        <v>61</v>
      </c>
      <c r="H1" s="42" t="s">
        <v>59</v>
      </c>
    </row>
    <row r="2" spans="1:8" x14ac:dyDescent="0.3">
      <c r="A2" s="43" t="s">
        <v>62</v>
      </c>
      <c r="B2" s="44">
        <v>150</v>
      </c>
      <c r="C2" s="44">
        <v>115</v>
      </c>
      <c r="D2" s="44">
        <f>B2-C2</f>
        <v>35</v>
      </c>
      <c r="F2" s="46">
        <v>400</v>
      </c>
      <c r="G2" s="47">
        <f>C2*F2</f>
        <v>46000</v>
      </c>
      <c r="H2" s="47">
        <f>D2*F2</f>
        <v>14000</v>
      </c>
    </row>
    <row r="3" spans="1:8" x14ac:dyDescent="0.3">
      <c r="A3" s="43" t="s">
        <v>63</v>
      </c>
      <c r="B3" s="44">
        <v>75</v>
      </c>
      <c r="C3" s="44">
        <v>60</v>
      </c>
      <c r="D3" s="44">
        <f t="shared" ref="D3:D4" si="0">B3-C3</f>
        <v>15</v>
      </c>
      <c r="F3" s="46">
        <v>150</v>
      </c>
      <c r="G3" s="47">
        <f t="shared" ref="G3:G4" si="1">C3*F3</f>
        <v>9000</v>
      </c>
      <c r="H3" s="47">
        <f t="shared" ref="H3:H4" si="2">D3*F3</f>
        <v>2250</v>
      </c>
    </row>
    <row r="4" spans="1:8" x14ac:dyDescent="0.3">
      <c r="A4" s="43" t="s">
        <v>64</v>
      </c>
      <c r="B4" s="44">
        <v>55</v>
      </c>
      <c r="C4" s="44">
        <v>45</v>
      </c>
      <c r="D4" s="44">
        <f t="shared" si="0"/>
        <v>10</v>
      </c>
      <c r="F4" s="46">
        <v>200</v>
      </c>
      <c r="G4" s="47">
        <f t="shared" si="1"/>
        <v>9000</v>
      </c>
      <c r="H4" s="47">
        <f t="shared" si="2"/>
        <v>2000</v>
      </c>
    </row>
    <row r="6" spans="1:8" x14ac:dyDescent="0.3">
      <c r="G6" s="45">
        <f>SUM(G2:G4)</f>
        <v>64000</v>
      </c>
      <c r="H6" s="45">
        <f>SUM(H2:H4)</f>
        <v>18250</v>
      </c>
    </row>
    <row r="11" spans="1:8" x14ac:dyDescent="0.3">
      <c r="A11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B2CD-A280-431A-85B2-6F1AD0AF2611}">
  <dimension ref="A2:J22"/>
  <sheetViews>
    <sheetView tabSelected="1" workbookViewId="0">
      <selection activeCell="A22" sqref="A22"/>
    </sheetView>
  </sheetViews>
  <sheetFormatPr baseColWidth="10" defaultRowHeight="14.4" x14ac:dyDescent="0.3"/>
  <cols>
    <col min="2" max="2" width="27.44140625" customWidth="1"/>
  </cols>
  <sheetData>
    <row r="2" spans="1:10" x14ac:dyDescent="0.3">
      <c r="A2" s="48" t="s">
        <v>66</v>
      </c>
      <c r="B2" s="48"/>
      <c r="D2" s="48" t="s">
        <v>71</v>
      </c>
      <c r="E2" s="48"/>
      <c r="G2" s="48" t="s">
        <v>73</v>
      </c>
      <c r="H2" s="48"/>
      <c r="I2" s="48"/>
      <c r="J2" s="48"/>
    </row>
    <row r="3" spans="1:10" x14ac:dyDescent="0.3">
      <c r="A3" s="42" t="s">
        <v>67</v>
      </c>
      <c r="B3" s="42" t="s">
        <v>68</v>
      </c>
      <c r="D3" s="51" t="s">
        <v>72</v>
      </c>
      <c r="E3" s="51">
        <v>80</v>
      </c>
      <c r="G3" s="42" t="s">
        <v>74</v>
      </c>
      <c r="H3" s="42" t="s">
        <v>72</v>
      </c>
      <c r="I3" s="42" t="s">
        <v>63</v>
      </c>
      <c r="J3" s="42" t="s">
        <v>64</v>
      </c>
    </row>
    <row r="4" spans="1:10" x14ac:dyDescent="0.3">
      <c r="A4" s="51" t="s">
        <v>69</v>
      </c>
      <c r="B4" s="51">
        <v>150</v>
      </c>
      <c r="D4" s="51" t="s">
        <v>63</v>
      </c>
      <c r="E4" s="51">
        <v>66</v>
      </c>
      <c r="G4" s="51" t="s">
        <v>69</v>
      </c>
      <c r="H4" s="52">
        <v>115</v>
      </c>
      <c r="I4" s="52">
        <v>60</v>
      </c>
      <c r="J4" s="52">
        <v>45</v>
      </c>
    </row>
    <row r="5" spans="1:10" x14ac:dyDescent="0.3">
      <c r="A5" s="51" t="s">
        <v>70</v>
      </c>
      <c r="B5" s="51">
        <v>135</v>
      </c>
      <c r="D5" s="51" t="s">
        <v>64</v>
      </c>
      <c r="E5" s="51">
        <v>85</v>
      </c>
      <c r="G5" s="51" t="s">
        <v>70</v>
      </c>
      <c r="H5" s="52">
        <v>135</v>
      </c>
      <c r="I5" s="52">
        <v>75</v>
      </c>
      <c r="J5" s="52">
        <v>40</v>
      </c>
    </row>
    <row r="8" spans="1:10" x14ac:dyDescent="0.3">
      <c r="A8" s="49" t="s">
        <v>75</v>
      </c>
      <c r="B8" s="49"/>
      <c r="D8" s="48" t="s">
        <v>76</v>
      </c>
      <c r="E8" s="48"/>
      <c r="F8" s="48"/>
      <c r="G8" s="48"/>
    </row>
    <row r="9" spans="1:10" x14ac:dyDescent="0.3">
      <c r="A9" s="53">
        <f>H16+H17</f>
        <v>0</v>
      </c>
      <c r="B9" s="53"/>
      <c r="D9" s="42" t="s">
        <v>74</v>
      </c>
      <c r="E9" s="42" t="s">
        <v>72</v>
      </c>
      <c r="F9" s="42" t="s">
        <v>63</v>
      </c>
      <c r="G9" s="42" t="s">
        <v>64</v>
      </c>
      <c r="H9" t="s">
        <v>77</v>
      </c>
    </row>
    <row r="10" spans="1:10" x14ac:dyDescent="0.3">
      <c r="D10" s="50" t="s">
        <v>69</v>
      </c>
      <c r="E10" s="50">
        <v>0</v>
      </c>
      <c r="F10" s="50">
        <v>0</v>
      </c>
      <c r="G10" s="50">
        <v>0</v>
      </c>
      <c r="H10" s="50">
        <f>SUM(E10:G10)</f>
        <v>0</v>
      </c>
    </row>
    <row r="11" spans="1:10" x14ac:dyDescent="0.3">
      <c r="D11" s="50" t="s">
        <v>70</v>
      </c>
      <c r="E11" s="50">
        <v>0</v>
      </c>
      <c r="F11" s="50">
        <v>0</v>
      </c>
      <c r="G11" s="50">
        <v>0</v>
      </c>
      <c r="H11" s="50">
        <f>SUM(E11:G11)</f>
        <v>0</v>
      </c>
    </row>
    <row r="12" spans="1:10" x14ac:dyDescent="0.3">
      <c r="D12" t="s">
        <v>77</v>
      </c>
      <c r="E12">
        <f>SUM(E10:E11)</f>
        <v>0</v>
      </c>
      <c r="F12">
        <f>SUM(F10:F11)</f>
        <v>0</v>
      </c>
      <c r="G12">
        <f>SUM(G10:G11)</f>
        <v>0</v>
      </c>
    </row>
    <row r="14" spans="1:10" x14ac:dyDescent="0.3">
      <c r="D14" s="48" t="s">
        <v>73</v>
      </c>
      <c r="E14" s="48"/>
      <c r="F14" s="48"/>
      <c r="G14" s="48"/>
    </row>
    <row r="15" spans="1:10" x14ac:dyDescent="0.3">
      <c r="D15" s="42" t="s">
        <v>74</v>
      </c>
      <c r="E15" s="42" t="s">
        <v>72</v>
      </c>
      <c r="F15" s="42" t="s">
        <v>63</v>
      </c>
      <c r="G15" s="42" t="s">
        <v>64</v>
      </c>
    </row>
    <row r="16" spans="1:10" x14ac:dyDescent="0.3">
      <c r="D16" s="50" t="s">
        <v>69</v>
      </c>
      <c r="E16" s="54">
        <f>E10*H4</f>
        <v>0</v>
      </c>
      <c r="F16" s="54">
        <f t="shared" ref="F16:H16" si="0">F10*I4</f>
        <v>0</v>
      </c>
      <c r="G16" s="54">
        <f t="shared" si="0"/>
        <v>0</v>
      </c>
      <c r="H16" s="54">
        <f>SUM(E16:G16)</f>
        <v>0</v>
      </c>
    </row>
    <row r="17" spans="1:8" x14ac:dyDescent="0.3">
      <c r="D17" s="50" t="s">
        <v>70</v>
      </c>
      <c r="E17" s="54">
        <f>E11*H5</f>
        <v>0</v>
      </c>
      <c r="F17" s="54">
        <f t="shared" ref="F17" si="1">F11*I5</f>
        <v>0</v>
      </c>
      <c r="G17" s="54">
        <f t="shared" ref="G17" si="2">G11*J5</f>
        <v>0</v>
      </c>
      <c r="H17" s="54">
        <f>SUM(E17:G17)</f>
        <v>0</v>
      </c>
    </row>
    <row r="22" spans="1:8" x14ac:dyDescent="0.3">
      <c r="A22" t="s">
        <v>78</v>
      </c>
    </row>
  </sheetData>
  <mergeCells count="7">
    <mergeCell ref="A9:B9"/>
    <mergeCell ref="D8:G8"/>
    <mergeCell ref="D14:G14"/>
    <mergeCell ref="A2:B2"/>
    <mergeCell ref="D2:E2"/>
    <mergeCell ref="G2:J2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1-TablasDeDatos</vt:lpstr>
      <vt:lpstr>2-Escenarios</vt:lpstr>
      <vt:lpstr>ResumenEscenario</vt:lpstr>
      <vt:lpstr>3-BuscarObjetivo</vt:lpstr>
      <vt:lpstr>4-Solver</vt:lpstr>
      <vt:lpstr>5-Solver</vt:lpstr>
      <vt:lpstr>6-Solver</vt:lpstr>
      <vt:lpstr>Capital</vt:lpstr>
      <vt:lpstr>Cuotas</vt:lpstr>
      <vt:lpstr>Mensualidad</vt:lpstr>
      <vt:lpstr>Seguro</vt:lpstr>
      <vt:lpstr>Tasa_Interes</vt:lpstr>
      <vt:lpstr>tasaInteres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2021-07-09T16:04:44Z</dcterms:modified>
</cp:coreProperties>
</file>
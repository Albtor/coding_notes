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C:\Users\34717\Documents\Coding\Excel\xcel_Files\"/>
    </mc:Choice>
  </mc:AlternateContent>
  <xr:revisionPtr revIDLastSave="0" documentId="13_ncr:1_{6F030155-1593-41CF-B40F-071A41B2C3B2}" xr6:coauthVersionLast="47" xr6:coauthVersionMax="47" xr10:uidLastSave="{00000000-0000-0000-0000-000000000000}"/>
  <bookViews>
    <workbookView xWindow="29145" yWindow="195" windowWidth="16860" windowHeight="11490" activeTab="2" xr2:uid="{00000000-000D-0000-FFFF-FFFF00000000}"/>
  </bookViews>
  <sheets>
    <sheet name="Factura" sheetId="1" r:id="rId1"/>
    <sheet name="Cursos" sheetId="2" r:id="rId2"/>
    <sheet name="Clientes" sheetId="3" r:id="rId3"/>
  </sheets>
  <definedNames>
    <definedName name="NClientes">TClientes[NOMBRE]</definedName>
    <definedName name="NCursos">TCursos[Producto]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9" i="1" l="1"/>
  <c r="A20" i="1"/>
  <c r="A21" i="1"/>
  <c r="A22" i="1"/>
  <c r="A23" i="1"/>
  <c r="A24" i="1"/>
  <c r="A25" i="1"/>
  <c r="A26" i="1"/>
  <c r="A27" i="1"/>
  <c r="A28" i="1"/>
  <c r="A18" i="1"/>
  <c r="D19" i="1"/>
  <c r="E19" i="1" s="1"/>
  <c r="E29" i="1" s="1"/>
  <c r="D20" i="1"/>
  <c r="E20" i="1" s="1"/>
  <c r="D21" i="1"/>
  <c r="E21" i="1" s="1"/>
  <c r="D22" i="1"/>
  <c r="D23" i="1"/>
  <c r="D24" i="1"/>
  <c r="E24" i="1" s="1"/>
  <c r="D25" i="1"/>
  <c r="D26" i="1"/>
  <c r="D27" i="1"/>
  <c r="E27" i="1" s="1"/>
  <c r="D28" i="1"/>
  <c r="E28" i="1" s="1"/>
  <c r="D18" i="1"/>
  <c r="E18" i="1" s="1"/>
  <c r="E6" i="1"/>
  <c r="E5" i="1"/>
  <c r="E4" i="1"/>
  <c r="E3" i="1"/>
  <c r="E2" i="1"/>
  <c r="E22" i="1"/>
  <c r="E23" i="1"/>
  <c r="E25" i="1"/>
  <c r="E26" i="1"/>
  <c r="E14" i="1"/>
  <c r="E15" i="1" s="1"/>
  <c r="E31" i="1" l="1"/>
  <c r="E32" i="1" l="1"/>
</calcChain>
</file>

<file path=xl/sharedStrings.xml><?xml version="1.0" encoding="utf-8"?>
<sst xmlns="http://schemas.openxmlformats.org/spreadsheetml/2006/main" count="74" uniqueCount="60">
  <si>
    <t>DOMICILIO</t>
  </si>
  <si>
    <t>LOCALIDAD</t>
  </si>
  <si>
    <t>C. POSTAL</t>
  </si>
  <si>
    <t>NIF</t>
  </si>
  <si>
    <t>EMAIL</t>
  </si>
  <si>
    <t>CLIENTE:</t>
  </si>
  <si>
    <t>CIF</t>
  </si>
  <si>
    <t>DIRECCION</t>
  </si>
  <si>
    <t>C.POSTAL</t>
  </si>
  <si>
    <t>Fecha</t>
  </si>
  <si>
    <t>Vencimiento Factura</t>
  </si>
  <si>
    <t>Cod</t>
  </si>
  <si>
    <t>Producto</t>
  </si>
  <si>
    <t>Unidades</t>
  </si>
  <si>
    <t>Precio Unidad</t>
  </si>
  <si>
    <t>Total</t>
  </si>
  <si>
    <t>Nº factura</t>
  </si>
  <si>
    <t>precio</t>
  </si>
  <si>
    <t>Excel</t>
  </si>
  <si>
    <t>Ruby</t>
  </si>
  <si>
    <t>React</t>
  </si>
  <si>
    <t>CSS</t>
  </si>
  <si>
    <t>f-232</t>
  </si>
  <si>
    <t>f-231</t>
  </si>
  <si>
    <t>f-230</t>
  </si>
  <si>
    <t>f-290</t>
  </si>
  <si>
    <t>NOMBRE</t>
  </si>
  <si>
    <t xml:space="preserve">LOCALIDAD </t>
  </si>
  <si>
    <t>C. POSAL</t>
  </si>
  <si>
    <t>TFONO</t>
  </si>
  <si>
    <t>Academia X</t>
  </si>
  <si>
    <t xml:space="preserve">C Manso </t>
  </si>
  <si>
    <t>Barcelona</t>
  </si>
  <si>
    <t>Academia Y</t>
  </si>
  <si>
    <t>Academia C</t>
  </si>
  <si>
    <t>Academia D</t>
  </si>
  <si>
    <t>Academia H</t>
  </si>
  <si>
    <t>C Mozart</t>
  </si>
  <si>
    <t>C Augusta</t>
  </si>
  <si>
    <t>C Berlina</t>
  </si>
  <si>
    <t xml:space="preserve">C Pasta </t>
  </si>
  <si>
    <t>Madrid</t>
  </si>
  <si>
    <t>RUIALBE &amp; CO</t>
  </si>
  <si>
    <t>Total Base imponible</t>
  </si>
  <si>
    <t>IVA</t>
  </si>
  <si>
    <t>Total IVA</t>
  </si>
  <si>
    <t>TOTAL</t>
  </si>
  <si>
    <t>fecha automatizada</t>
  </si>
  <si>
    <t>al poner producto está automatizado</t>
  </si>
  <si>
    <t>HTML</t>
  </si>
  <si>
    <t>f-277</t>
  </si>
  <si>
    <t>Sass</t>
  </si>
  <si>
    <t>Node.js</t>
  </si>
  <si>
    <t>f-500</t>
  </si>
  <si>
    <t>Bootstrap</t>
  </si>
  <si>
    <t>f-300</t>
  </si>
  <si>
    <t>Javascript</t>
  </si>
  <si>
    <t>f-455</t>
  </si>
  <si>
    <t>info fija</t>
  </si>
  <si>
    <t>datos automatizados con validacion datos, lista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</si>
</sst>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theme="9" tint="-0.24994659260841701"/>
      </left>
      <right style="thin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 style="thin">
        <color theme="9" tint="0.39997558519241921"/>
      </right>
      <top style="thin">
        <color theme="9" tint="-0.24994659260841701"/>
      </top>
      <bottom style="thin">
        <color theme="9" tint="-0.24994659260841701"/>
      </bottom>
      <diagonal/>
    </border>
    <border>
      <left/>
      <right/>
      <top style="thin">
        <color theme="9" tint="-0.499984740745262"/>
      </top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2" borderId="0" xfId="0" applyFill="1" applyBorder="1"/>
    <xf numFmtId="0" fontId="2" fillId="0" borderId="0" xfId="0" applyFont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1" fillId="0" borderId="0" xfId="0" applyFont="1"/>
    <xf numFmtId="164" fontId="0" fillId="0" borderId="0" xfId="0" applyNumberFormat="1"/>
    <xf numFmtId="0" fontId="0" fillId="2" borderId="2" xfId="0" applyFill="1" applyBorder="1" applyAlignment="1"/>
    <xf numFmtId="0" fontId="0" fillId="2" borderId="4" xfId="0" applyFill="1" applyBorder="1" applyAlignment="1"/>
    <xf numFmtId="0" fontId="0" fillId="3" borderId="3" xfId="0" applyFill="1" applyBorder="1" applyAlignment="1"/>
    <xf numFmtId="0" fontId="1" fillId="0" borderId="8" xfId="0" applyFont="1" applyBorder="1"/>
    <xf numFmtId="0" fontId="0" fillId="0" borderId="10" xfId="0" applyBorder="1"/>
    <xf numFmtId="0" fontId="1" fillId="0" borderId="10" xfId="0" applyFont="1" applyBorder="1"/>
    <xf numFmtId="0" fontId="0" fillId="2" borderId="11" xfId="0" applyFill="1" applyBorder="1"/>
    <xf numFmtId="14" fontId="0" fillId="0" borderId="1" xfId="0" applyNumberFormat="1" applyBorder="1"/>
    <xf numFmtId="9" fontId="0" fillId="0" borderId="0" xfId="0" applyNumberFormat="1"/>
    <xf numFmtId="0" fontId="0" fillId="0" borderId="0" xfId="0" applyFont="1"/>
    <xf numFmtId="164" fontId="0" fillId="0" borderId="10" xfId="0" applyNumberFormat="1" applyBorder="1"/>
    <xf numFmtId="164" fontId="0" fillId="0" borderId="9" xfId="0" applyNumberFormat="1" applyBorder="1"/>
  </cellXfs>
  <cellStyles count="1">
    <cellStyle name="Normal" xfId="0" builtinId="0"/>
  </cellStyles>
  <dxfs count="1">
    <dxf>
      <numFmt numFmtId="164" formatCode="#,##0.00\ &quot;€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9A1E91-055A-42B8-936F-D285A16CCD4E}" name="TCursos" displayName="TCursos" ref="A1:C10" totalsRowShown="0">
  <autoFilter ref="A1:C10" xr:uid="{1D9A1E91-055A-42B8-936F-D285A16CCD4E}"/>
  <tableColumns count="3">
    <tableColumn id="1" xr3:uid="{8DB2A6F2-F8C3-4000-8AA4-890F4C831987}" name="Producto"/>
    <tableColumn id="2" xr3:uid="{E4BC819C-CA36-454D-A2AB-2F9429C2D08B}" name="Cod"/>
    <tableColumn id="3" xr3:uid="{A8CECA5E-1C3B-4061-A11F-353E38DBF533}" name="precio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0CAD0B-E43C-450C-98FE-38184E280A8F}" name="TClientes" displayName="TClientes" ref="A1:F6" totalsRowShown="0">
  <autoFilter ref="A1:F6" xr:uid="{070CAD0B-E43C-450C-98FE-38184E280A8F}"/>
  <tableColumns count="6">
    <tableColumn id="1" xr3:uid="{89F5DCC1-DAF1-46FB-9B74-C30B646A6ABC}" name="NOMBRE"/>
    <tableColumn id="2" xr3:uid="{B60F83D3-F61D-4E39-9830-2AE69D7F1BFC}" name="CIF"/>
    <tableColumn id="3" xr3:uid="{06247D7F-A805-4545-8DD8-B93A635553E0}" name="DIRECCION"/>
    <tableColumn id="4" xr3:uid="{ADFE72DA-86B9-460F-8E02-0F513AFA1109}" name="LOCALIDAD "/>
    <tableColumn id="5" xr3:uid="{00697E92-4679-4579-A5DA-7E819BA7C289}" name="C. POSAL"/>
    <tableColumn id="6" xr3:uid="{611626D3-DBC5-4D25-A47F-636B5333B744}" name="TFO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zoomScale="85" zoomScaleNormal="85" workbookViewId="0">
      <selection activeCell="J8" sqref="J8"/>
    </sheetView>
  </sheetViews>
  <sheetFormatPr baseColWidth="10" defaultColWidth="8.88671875" defaultRowHeight="14.4" x14ac:dyDescent="0.3"/>
  <cols>
    <col min="1" max="1" width="17.77734375" customWidth="1"/>
    <col min="2" max="2" width="22.21875" customWidth="1"/>
    <col min="3" max="3" width="18.77734375" customWidth="1"/>
    <col min="4" max="4" width="22.109375" customWidth="1"/>
    <col min="5" max="5" width="17.88671875" customWidth="1"/>
  </cols>
  <sheetData>
    <row r="1" spans="1:6" x14ac:dyDescent="0.3">
      <c r="C1" s="9" t="s">
        <v>5</v>
      </c>
      <c r="D1" s="11" t="s">
        <v>35</v>
      </c>
      <c r="E1" s="10"/>
    </row>
    <row r="2" spans="1:6" x14ac:dyDescent="0.3">
      <c r="C2" s="4"/>
      <c r="D2" s="2" t="s">
        <v>6</v>
      </c>
      <c r="E2" s="5">
        <f>IFERROR(VLOOKUP($D$1,TClientes[],2,FALSE),"")</f>
        <v>228829</v>
      </c>
      <c r="F2" t="s">
        <v>59</v>
      </c>
    </row>
    <row r="3" spans="1:6" x14ac:dyDescent="0.3">
      <c r="C3" s="4"/>
      <c r="D3" s="2" t="s">
        <v>7</v>
      </c>
      <c r="E3" s="5" t="str">
        <f>IFERROR(VLOOKUP($D$1,TClientes[],3,FALSE),"")</f>
        <v>C Berlina</v>
      </c>
    </row>
    <row r="4" spans="1:6" x14ac:dyDescent="0.3">
      <c r="C4" s="4"/>
      <c r="D4" s="2" t="s">
        <v>1</v>
      </c>
      <c r="E4" s="5" t="str">
        <f>IFERROR(VLOOKUP($D$1,TClientes[],4,FALSE),"")</f>
        <v>Barcelona</v>
      </c>
    </row>
    <row r="5" spans="1:6" x14ac:dyDescent="0.3">
      <c r="C5" s="4"/>
      <c r="D5" s="2" t="s">
        <v>8</v>
      </c>
      <c r="E5" s="5">
        <f>IFERROR(VLOOKUP($D$1,TClientes[],5,FALSE),"")</f>
        <v>8003</v>
      </c>
    </row>
    <row r="6" spans="1:6" x14ac:dyDescent="0.3">
      <c r="C6" s="6"/>
      <c r="D6" s="15" t="s">
        <v>4</v>
      </c>
      <c r="E6" s="5">
        <f>IFERROR(VLOOKUP($D$1,TClientes[],6,FALSE),"")</f>
        <v>34561144</v>
      </c>
    </row>
    <row r="7" spans="1:6" x14ac:dyDescent="0.3">
      <c r="A7" t="s">
        <v>58</v>
      </c>
      <c r="B7" s="3" t="s">
        <v>42</v>
      </c>
    </row>
    <row r="8" spans="1:6" x14ac:dyDescent="0.3">
      <c r="A8" s="7" t="s">
        <v>0</v>
      </c>
    </row>
    <row r="9" spans="1:6" x14ac:dyDescent="0.3">
      <c r="A9" s="7" t="s">
        <v>1</v>
      </c>
    </row>
    <row r="10" spans="1:6" x14ac:dyDescent="0.3">
      <c r="A10" s="7" t="s">
        <v>2</v>
      </c>
    </row>
    <row r="11" spans="1:6" x14ac:dyDescent="0.3">
      <c r="A11" s="7" t="s">
        <v>3</v>
      </c>
    </row>
    <row r="12" spans="1:6" x14ac:dyDescent="0.3">
      <c r="A12" s="7" t="s">
        <v>4</v>
      </c>
    </row>
    <row r="13" spans="1:6" x14ac:dyDescent="0.3">
      <c r="D13" s="1" t="s">
        <v>16</v>
      </c>
      <c r="E13" s="1">
        <v>6</v>
      </c>
    </row>
    <row r="14" spans="1:6" x14ac:dyDescent="0.3">
      <c r="D14" s="1" t="s">
        <v>9</v>
      </c>
      <c r="E14" s="16">
        <f ca="1">TODAY()</f>
        <v>44390</v>
      </c>
      <c r="F14" t="s">
        <v>47</v>
      </c>
    </row>
    <row r="15" spans="1:6" x14ac:dyDescent="0.3">
      <c r="D15" s="1" t="s">
        <v>10</v>
      </c>
      <c r="E15" s="16">
        <f ca="1">E14+20</f>
        <v>44410</v>
      </c>
      <c r="F15" t="s">
        <v>47</v>
      </c>
    </row>
    <row r="17" spans="1:7" x14ac:dyDescent="0.3">
      <c r="A17" s="7" t="s">
        <v>11</v>
      </c>
      <c r="B17" s="7" t="s">
        <v>12</v>
      </c>
      <c r="C17" s="7" t="s">
        <v>13</v>
      </c>
      <c r="D17" s="7" t="s">
        <v>14</v>
      </c>
      <c r="E17" s="7" t="s">
        <v>15</v>
      </c>
    </row>
    <row r="18" spans="1:7" x14ac:dyDescent="0.3">
      <c r="A18" s="18" t="str">
        <f>IFERROR(VLOOKUP(B18,TCursos[],2,FALSE),"")</f>
        <v>f-231</v>
      </c>
      <c r="B18" s="18" t="s">
        <v>19</v>
      </c>
      <c r="C18" s="18">
        <v>3</v>
      </c>
      <c r="D18" s="18">
        <f>IFERROR(VLOOKUP(B18,TCursos[],3,FALSE),"")</f>
        <v>600</v>
      </c>
      <c r="E18">
        <f>IFERROR(D18*C18,"")</f>
        <v>1800</v>
      </c>
      <c r="G18" t="s">
        <v>48</v>
      </c>
    </row>
    <row r="19" spans="1:7" x14ac:dyDescent="0.3">
      <c r="A19" s="18" t="str">
        <f>IFERROR(VLOOKUP(B19,TCursos[],2,FALSE),"")</f>
        <v>f-230</v>
      </c>
      <c r="B19" s="18" t="s">
        <v>20</v>
      </c>
      <c r="C19" s="18">
        <v>2</v>
      </c>
      <c r="D19" s="18">
        <f>IFERROR(VLOOKUP(B19,TCursos[],3,FALSE),"")</f>
        <v>1500</v>
      </c>
      <c r="E19">
        <f t="shared" ref="E19:E28" si="0">IFERROR(D19*C19,"")</f>
        <v>3000</v>
      </c>
    </row>
    <row r="20" spans="1:7" x14ac:dyDescent="0.3">
      <c r="A20" s="18" t="str">
        <f>IFERROR(VLOOKUP(B20,TCursos[],2,FALSE),"")</f>
        <v/>
      </c>
      <c r="B20" s="18"/>
      <c r="C20" s="18"/>
      <c r="D20" s="18" t="str">
        <f>IFERROR(VLOOKUP(B20,TCursos[],3,FALSE),"")</f>
        <v/>
      </c>
      <c r="E20" t="str">
        <f t="shared" si="0"/>
        <v/>
      </c>
    </row>
    <row r="21" spans="1:7" x14ac:dyDescent="0.3">
      <c r="A21" s="18" t="str">
        <f>IFERROR(VLOOKUP(B21,TCursos[],2,FALSE),"")</f>
        <v/>
      </c>
      <c r="B21" s="18"/>
      <c r="C21" s="18"/>
      <c r="D21" s="18" t="str">
        <f>IFERROR(VLOOKUP(B21,TCursos[],3,FALSE),"")</f>
        <v/>
      </c>
      <c r="E21" t="str">
        <f t="shared" si="0"/>
        <v/>
      </c>
    </row>
    <row r="22" spans="1:7" x14ac:dyDescent="0.3">
      <c r="A22" s="18" t="str">
        <f>IFERROR(VLOOKUP(B22,TCursos[],2,FALSE),"")</f>
        <v/>
      </c>
      <c r="B22" s="18"/>
      <c r="C22" s="18"/>
      <c r="D22" s="18" t="str">
        <f>IFERROR(VLOOKUP(B22,TCursos[],3,FALSE),"")</f>
        <v/>
      </c>
      <c r="E22" t="str">
        <f t="shared" si="0"/>
        <v/>
      </c>
    </row>
    <row r="23" spans="1:7" x14ac:dyDescent="0.3">
      <c r="A23" s="18" t="str">
        <f>IFERROR(VLOOKUP(B23,TCursos[],2,FALSE),"")</f>
        <v/>
      </c>
      <c r="B23" s="18"/>
      <c r="C23" s="18"/>
      <c r="D23" s="18" t="str">
        <f>IFERROR(VLOOKUP(B23,TCursos[],3,FALSE),"")</f>
        <v/>
      </c>
      <c r="E23" t="str">
        <f t="shared" si="0"/>
        <v/>
      </c>
    </row>
    <row r="24" spans="1:7" x14ac:dyDescent="0.3">
      <c r="A24" s="18" t="str">
        <f>IFERROR(VLOOKUP(B24,TCursos[],2,FALSE),"")</f>
        <v/>
      </c>
      <c r="B24" s="18"/>
      <c r="C24" s="18"/>
      <c r="D24" s="18" t="str">
        <f>IFERROR(VLOOKUP(B24,TCursos[],3,FALSE),"")</f>
        <v/>
      </c>
      <c r="E24" t="str">
        <f t="shared" si="0"/>
        <v/>
      </c>
    </row>
    <row r="25" spans="1:7" x14ac:dyDescent="0.3">
      <c r="A25" s="18" t="str">
        <f>IFERROR(VLOOKUP(B25,TCursos[],2,FALSE),"")</f>
        <v/>
      </c>
      <c r="B25" s="18"/>
      <c r="C25" s="18"/>
      <c r="D25" s="18" t="str">
        <f>IFERROR(VLOOKUP(B25,TCursos[],3,FALSE),"")</f>
        <v/>
      </c>
      <c r="E25" t="str">
        <f t="shared" si="0"/>
        <v/>
      </c>
    </row>
    <row r="26" spans="1:7" x14ac:dyDescent="0.3">
      <c r="A26" s="18" t="str">
        <f>IFERROR(VLOOKUP(B26,TCursos[],2,FALSE),"")</f>
        <v/>
      </c>
      <c r="B26" s="18"/>
      <c r="C26" s="18"/>
      <c r="D26" s="18" t="str">
        <f>IFERROR(VLOOKUP(B26,TCursos[],3,FALSE),"")</f>
        <v/>
      </c>
      <c r="E26" t="str">
        <f t="shared" si="0"/>
        <v/>
      </c>
    </row>
    <row r="27" spans="1:7" x14ac:dyDescent="0.3">
      <c r="A27" s="18" t="str">
        <f>IFERROR(VLOOKUP(B27,TCursos[],2,FALSE),"")</f>
        <v/>
      </c>
      <c r="B27" s="18"/>
      <c r="C27" s="18"/>
      <c r="D27" s="18" t="str">
        <f>IFERROR(VLOOKUP(B27,TCursos[],3,FALSE),"")</f>
        <v/>
      </c>
      <c r="E27" t="str">
        <f t="shared" si="0"/>
        <v/>
      </c>
    </row>
    <row r="28" spans="1:7" x14ac:dyDescent="0.3">
      <c r="A28" s="18" t="str">
        <f>IFERROR(VLOOKUP(B28,TCursos[],2,FALSE),"")</f>
        <v/>
      </c>
      <c r="B28" s="18"/>
      <c r="C28" s="18"/>
      <c r="D28" s="18" t="str">
        <f>IFERROR(VLOOKUP(B28,TCursos[],3,FALSE),"")</f>
        <v/>
      </c>
      <c r="E28" t="str">
        <f t="shared" si="0"/>
        <v/>
      </c>
    </row>
    <row r="29" spans="1:7" x14ac:dyDescent="0.3">
      <c r="B29" s="13"/>
      <c r="C29" s="13"/>
      <c r="D29" s="14" t="s">
        <v>43</v>
      </c>
      <c r="E29" s="19">
        <f>SUM(E18:E28)</f>
        <v>4800</v>
      </c>
    </row>
    <row r="30" spans="1:7" x14ac:dyDescent="0.3">
      <c r="D30" s="7" t="s">
        <v>44</v>
      </c>
      <c r="E30" s="17">
        <v>0.21</v>
      </c>
    </row>
    <row r="31" spans="1:7" x14ac:dyDescent="0.3">
      <c r="D31" s="7" t="s">
        <v>45</v>
      </c>
      <c r="E31" s="8">
        <f>E29*E30</f>
        <v>1008</v>
      </c>
    </row>
    <row r="32" spans="1:7" x14ac:dyDescent="0.3">
      <c r="D32" s="12" t="s">
        <v>46</v>
      </c>
      <c r="E32" s="20">
        <f>SUM(E29,E31)</f>
        <v>5808</v>
      </c>
    </row>
  </sheetData>
  <dataValidations count="3">
    <dataValidation type="list" allowBlank="1" showInputMessage="1" showErrorMessage="1" sqref="D1" xr:uid="{8FAEF4CD-6DE3-41E0-8134-C02FD75C92E5}">
      <formula1>NClientes</formula1>
    </dataValidation>
    <dataValidation type="whole" errorStyle="information" allowBlank="1" showInputMessage="1" showErrorMessage="1" errorTitle="Ojo" error="Solo se permite facturar 10 unidades como máximo" sqref="C18:C28" xr:uid="{E83769F6-978C-4FA4-BD07-0197F2BE2B27}">
      <formula1>1</formula1>
      <formula2>10</formula2>
    </dataValidation>
    <dataValidation type="list" allowBlank="1" showInputMessage="1" showErrorMessage="1" sqref="B18:B28" xr:uid="{2A43648C-DD3D-4371-819E-CB964F1B18BE}">
      <formula1>NCursos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6D73E-58CF-4AC6-A837-29E3E7C5A543}">
  <dimension ref="A1:C10"/>
  <sheetViews>
    <sheetView workbookViewId="0">
      <selection activeCell="B3" sqref="B3"/>
    </sheetView>
  </sheetViews>
  <sheetFormatPr baseColWidth="10" defaultRowHeight="14.4" x14ac:dyDescent="0.3"/>
  <sheetData>
    <row r="1" spans="1:3" x14ac:dyDescent="0.3">
      <c r="A1" t="s">
        <v>12</v>
      </c>
      <c r="B1" t="s">
        <v>11</v>
      </c>
      <c r="C1" t="s">
        <v>17</v>
      </c>
    </row>
    <row r="2" spans="1:3" x14ac:dyDescent="0.3">
      <c r="A2" t="s">
        <v>18</v>
      </c>
      <c r="B2" t="s">
        <v>22</v>
      </c>
      <c r="C2" s="8">
        <v>900</v>
      </c>
    </row>
    <row r="3" spans="1:3" x14ac:dyDescent="0.3">
      <c r="A3" t="s">
        <v>19</v>
      </c>
      <c r="B3" t="s">
        <v>23</v>
      </c>
      <c r="C3" s="8">
        <v>600</v>
      </c>
    </row>
    <row r="4" spans="1:3" x14ac:dyDescent="0.3">
      <c r="A4" t="s">
        <v>20</v>
      </c>
      <c r="B4" t="s">
        <v>24</v>
      </c>
      <c r="C4" s="8">
        <v>1500</v>
      </c>
    </row>
    <row r="5" spans="1:3" x14ac:dyDescent="0.3">
      <c r="A5" t="s">
        <v>21</v>
      </c>
      <c r="B5" t="s">
        <v>25</v>
      </c>
      <c r="C5" s="8">
        <v>800</v>
      </c>
    </row>
    <row r="6" spans="1:3" x14ac:dyDescent="0.3">
      <c r="A6" t="s">
        <v>49</v>
      </c>
      <c r="B6" t="s">
        <v>50</v>
      </c>
      <c r="C6" s="8">
        <v>500</v>
      </c>
    </row>
    <row r="7" spans="1:3" x14ac:dyDescent="0.3">
      <c r="A7" t="s">
        <v>51</v>
      </c>
      <c r="B7" t="s">
        <v>50</v>
      </c>
      <c r="C7" s="8">
        <v>250</v>
      </c>
    </row>
    <row r="8" spans="1:3" x14ac:dyDescent="0.3">
      <c r="A8" t="s">
        <v>52</v>
      </c>
      <c r="B8" t="s">
        <v>53</v>
      </c>
      <c r="C8" s="8">
        <v>450</v>
      </c>
    </row>
    <row r="9" spans="1:3" x14ac:dyDescent="0.3">
      <c r="A9" t="s">
        <v>54</v>
      </c>
      <c r="B9" t="s">
        <v>55</v>
      </c>
      <c r="C9" s="8">
        <v>200</v>
      </c>
    </row>
    <row r="10" spans="1:3" x14ac:dyDescent="0.3">
      <c r="A10" t="s">
        <v>56</v>
      </c>
      <c r="B10" t="s">
        <v>57</v>
      </c>
      <c r="C10" s="8">
        <v>1000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17334-B4FD-4BFC-9A31-1BAB7A4A59F1}">
  <dimension ref="A1:F6"/>
  <sheetViews>
    <sheetView tabSelected="1" workbookViewId="0">
      <selection activeCell="C4" sqref="C4"/>
    </sheetView>
  </sheetViews>
  <sheetFormatPr baseColWidth="10" defaultRowHeight="14.4" x14ac:dyDescent="0.3"/>
  <cols>
    <col min="3" max="3" width="12.33203125" customWidth="1"/>
    <col min="4" max="4" width="13.109375" customWidth="1"/>
  </cols>
  <sheetData>
    <row r="1" spans="1:6" x14ac:dyDescent="0.3">
      <c r="A1" t="s">
        <v>26</v>
      </c>
      <c r="B1" t="s">
        <v>6</v>
      </c>
      <c r="C1" t="s">
        <v>7</v>
      </c>
      <c r="D1" t="s">
        <v>27</v>
      </c>
      <c r="E1" t="s">
        <v>28</v>
      </c>
      <c r="F1" t="s">
        <v>29</v>
      </c>
    </row>
    <row r="2" spans="1:6" x14ac:dyDescent="0.3">
      <c r="A2" t="s">
        <v>30</v>
      </c>
      <c r="B2">
        <v>123123</v>
      </c>
      <c r="C2" t="s">
        <v>31</v>
      </c>
      <c r="D2" t="s">
        <v>32</v>
      </c>
      <c r="E2">
        <v>8004</v>
      </c>
      <c r="F2">
        <v>34561111</v>
      </c>
    </row>
    <row r="3" spans="1:6" x14ac:dyDescent="0.3">
      <c r="A3" t="s">
        <v>33</v>
      </c>
      <c r="B3">
        <v>123333</v>
      </c>
      <c r="C3" t="s">
        <v>37</v>
      </c>
      <c r="D3" t="s">
        <v>32</v>
      </c>
      <c r="E3">
        <v>8001</v>
      </c>
      <c r="F3">
        <v>34561122</v>
      </c>
    </row>
    <row r="4" spans="1:6" x14ac:dyDescent="0.3">
      <c r="A4" t="s">
        <v>34</v>
      </c>
      <c r="B4">
        <v>124654</v>
      </c>
      <c r="C4" t="s">
        <v>38</v>
      </c>
      <c r="D4" t="s">
        <v>32</v>
      </c>
      <c r="E4">
        <v>8003</v>
      </c>
      <c r="F4">
        <v>34561133</v>
      </c>
    </row>
    <row r="5" spans="1:6" x14ac:dyDescent="0.3">
      <c r="A5" t="s">
        <v>35</v>
      </c>
      <c r="B5">
        <v>228829</v>
      </c>
      <c r="C5" t="s">
        <v>39</v>
      </c>
      <c r="D5" t="s">
        <v>32</v>
      </c>
      <c r="E5">
        <v>8003</v>
      </c>
      <c r="F5">
        <v>34561144</v>
      </c>
    </row>
    <row r="6" spans="1:6" x14ac:dyDescent="0.3">
      <c r="A6" t="s">
        <v>36</v>
      </c>
      <c r="B6">
        <v>232389</v>
      </c>
      <c r="C6" t="s">
        <v>40</v>
      </c>
      <c r="D6" t="s">
        <v>41</v>
      </c>
      <c r="E6">
        <v>2804</v>
      </c>
      <c r="F6">
        <v>34561155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Factura</vt:lpstr>
      <vt:lpstr>Cursos</vt:lpstr>
      <vt:lpstr>Clientes</vt:lpstr>
      <vt:lpstr>NClientes</vt:lpstr>
      <vt:lpstr>NCursos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AlbertoToribio</dc:creator>
  <cp:lastModifiedBy>34717</cp:lastModifiedBy>
  <cp:lastPrinted>2021-07-13T18:25:32Z</cp:lastPrinted>
  <dcterms:created xsi:type="dcterms:W3CDTF">2015-06-05T18:19:34Z</dcterms:created>
  <dcterms:modified xsi:type="dcterms:W3CDTF">2021-07-13T18:26:34Z</dcterms:modified>
</cp:coreProperties>
</file>